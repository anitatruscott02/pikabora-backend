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5.xml" ContentType="application/vnd.openxmlformats-officedocument.spreadsheetml.table+xml"/>
  <Override PartName="/xl/worksheets/sheet20.xml" ContentType="application/vnd.openxmlformats-officedocument.spreadsheetml.worksheet+xml"/>
  <Override PartName="/xl/tables/table6.xml" ContentType="application/vnd.openxmlformats-officedocument.spreadsheetml.table+xml"/>
  <Override PartName="/xl/worksheets/sheet21.xml" ContentType="application/vnd.openxmlformats-officedocument.spreadsheetml.worksheet+xml"/>
  <Override PartName="/xl/tables/table7.xml" ContentType="application/vnd.openxmlformats-officedocument.spreadsheetml.table+xml"/>
  <Override PartName="/xl/worksheets/sheet22.xml" ContentType="application/vnd.openxmlformats-officedocument.spreadsheetml.worksheet+xml"/>
  <Override PartName="/xl/tables/table8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9.xml" ContentType="application/vnd.openxmlformats-officedocument.spreadsheetml.table+xml"/>
  <Override PartName="/xl/worksheets/sheet25.xml" ContentType="application/vnd.openxmlformats-officedocument.spreadsheetml.worksheet+xml"/>
  <Override PartName="/xl/tables/table10.xml" ContentType="application/vnd.openxmlformats-officedocument.spreadsheetml.table+xml"/>
  <Override PartName="/xl/worksheets/sheet26.xml" ContentType="application/vnd.openxmlformats-officedocument.spreadsheetml.worksheet+xml"/>
  <Override PartName="/xl/tables/table11.xml" ContentType="application/vnd.openxmlformats-officedocument.spreadsheetml.table+xml"/>
  <Override PartName="/xl/worksheets/sheet27.xml" ContentType="application/vnd.openxmlformats-officedocument.spreadsheetml.worksheet+xml"/>
  <Override PartName="/xl/tables/table12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13.xml" ContentType="application/vnd.openxmlformats-officedocument.spreadsheetml.table+xml"/>
  <Override PartName="/xl/worksheets/sheet30.xml" ContentType="application/vnd.openxmlformats-officedocument.spreadsheetml.worksheet+xml"/>
  <Override PartName="/xl/tables/table14.xml" ContentType="application/vnd.openxmlformats-officedocument.spreadsheetml.table+xml"/>
  <Override PartName="/xl/worksheets/sheet31.xml" ContentType="application/vnd.openxmlformats-officedocument.spreadsheetml.worksheet+xml"/>
  <Override PartName="/xl/tables/table15.xml" ContentType="application/vnd.openxmlformats-officedocument.spreadsheetml.table+xml"/>
  <Override PartName="/xl/worksheets/sheet32.xml" ContentType="application/vnd.openxmlformats-officedocument.spreadsheetml.worksheet+xml"/>
  <Override PartName="/xl/tables/table16.xml" ContentType="application/vnd.openxmlformats-officedocument.spreadsheetml.table+xml"/>
  <Override PartName="/xl/worksheets/sheet33.xml" ContentType="application/vnd.openxmlformats-officedocument.spreadsheetml.worksheet+xml"/>
  <Override PartName="/xl/tables/table17.xml" ContentType="application/vnd.openxmlformats-officedocument.spreadsheetml.table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b9314c0d1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167318d14f4ce2"/>
    <x:sheet xmlns:r="http://schemas.openxmlformats.org/officeDocument/2006/relationships" name="Source Registry" sheetId="2" r:id="R3a5dcd9928d34d40"/>
    <x:sheet xmlns:r="http://schemas.openxmlformats.org/officeDocument/2006/relationships" name="Master Food Schema" sheetId="3" r:id="Racaf3b729f6f4ef9"/>
    <x:sheet xmlns:r="http://schemas.openxmlformats.org/officeDocument/2006/relationships" name="Nigeria Starter" sheetId="4" r:id="Rc1ed29ea9aba4d91"/>
    <x:sheet xmlns:r="http://schemas.openxmlformats.org/officeDocument/2006/relationships" name="Country Pack Status" sheetId="5" r:id="Rf94d9903a9824708"/>
    <x:sheet xmlns:r="http://schemas.openxmlformats.org/officeDocument/2006/relationships" name="Controlled Vocabulary" sheetId="6" r:id="R0df8b91699554fc7"/>
    <x:sheet xmlns:r="http://schemas.openxmlformats.org/officeDocument/2006/relationships" name="Food Aliases" sheetId="7" r:id="R7d62e303488141e3"/>
    <x:sheet xmlns:r="http://schemas.openxmlformats.org/officeDocument/2006/relationships" name="Household Measures" sheetId="8" r:id="Rcf2001e91caf4d79"/>
    <x:sheet xmlns:r="http://schemas.openxmlformats.org/officeDocument/2006/relationships" name="Recipe Links" sheetId="9" r:id="R684a8b33d5384633"/>
    <x:sheet xmlns:r="http://schemas.openxmlformats.org/officeDocument/2006/relationships" name="Life Stage Rules" sheetId="10" r:id="R7b9bde577e2a4e66"/>
    <x:sheet xmlns:r="http://schemas.openxmlformats.org/officeDocument/2006/relationships" name="Safety Rules" sheetId="11" r:id="R5811e53373e54389"/>
    <x:sheet xmlns:r="http://schemas.openxmlformats.org/officeDocument/2006/relationships" name="Kenya Starter" sheetId="12" r:id="R7fe8fe3c0f724990"/>
    <x:sheet xmlns:r="http://schemas.openxmlformats.org/officeDocument/2006/relationships" name="Senegal Starter" sheetId="13" r:id="R8b87a7933aef4875"/>
    <x:sheet xmlns:r="http://schemas.openxmlformats.org/officeDocument/2006/relationships" name="Nutrient Dictionary" sheetId="14" r:id="Rd91477adddc2450d"/>
    <x:sheet xmlns:r="http://schemas.openxmlformats.org/officeDocument/2006/relationships" name="Data QA Rules" sheetId="15" r:id="R4d70dba86cbb4648"/>
    <x:sheet xmlns:r="http://schemas.openxmlformats.org/officeDocument/2006/relationships" name="Priority Maternal Foods" sheetId="16" r:id="R0c2e3101d8164cb5"/>
    <x:sheet xmlns:r="http://schemas.openxmlformats.org/officeDocument/2006/relationships" name="Ingestion Dashboard" sheetId="17" r:id="R70bfa66dcb314a16"/>
    <x:sheet xmlns:r="http://schemas.openxmlformats.org/officeDocument/2006/relationships" name="Ingestion Notes" sheetId="18" r:id="R979f5bdec8284911"/>
    <x:sheet xmlns:r="http://schemas.openxmlformats.org/officeDocument/2006/relationships" name="Meal Intelligence" sheetId="19" r:id="R80c994bb43aa4a18"/>
    <x:sheet xmlns:r="http://schemas.openxmlformats.org/officeDocument/2006/relationships" name="Meal Components" sheetId="20" r:id="Re0762dbeacf240fd"/>
    <x:sheet xmlns:r="http://schemas.openxmlformats.org/officeDocument/2006/relationships" name="Household Portions" sheetId="21" r:id="Raf6c4ba509de464b"/>
    <x:sheet xmlns:r="http://schemas.openxmlformats.org/officeDocument/2006/relationships" name="Recommendation Logic" sheetId="22" r:id="R1423465011db4f8b"/>
    <x:sheet xmlns:r="http://schemas.openxmlformats.org/officeDocument/2006/relationships" name="v0.5 Dashboard" sheetId="23" r:id="Rc8506dca3231436e"/>
    <x:sheet xmlns:r="http://schemas.openxmlformats.org/officeDocument/2006/relationships" name="Pregnancy Stage Rules" sheetId="24" r:id="R5a85433dddc14777"/>
    <x:sheet xmlns:r="http://schemas.openxmlformats.org/officeDocument/2006/relationships" name="Daily Food Group Memory" sheetId="25" r:id="R2076eea238ce4d75"/>
    <x:sheet xmlns:r="http://schemas.openxmlformats.org/officeDocument/2006/relationships" name="Quantitative Scoring" sheetId="26" r:id="R7e06ec9a65c14eec"/>
    <x:sheet xmlns:r="http://schemas.openxmlformats.org/officeDocument/2006/relationships" name="Candidate Ranking" sheetId="27" r:id="R2cb91b08788b4a40"/>
    <x:sheet xmlns:r="http://schemas.openxmlformats.org/officeDocument/2006/relationships" name="v0.6 Dashboard" sheetId="28" r:id="Re8cca694c70d4626"/>
    <x:sheet xmlns:r="http://schemas.openxmlformats.org/officeDocument/2006/relationships" name="Portion Validation Queue" sheetId="29" r:id="R28b45d31cd544937"/>
    <x:sheet xmlns:r="http://schemas.openxmlformats.org/officeDocument/2006/relationships" name="Nutrient Calculator" sheetId="30" r:id="R2d98b74431274e33"/>
    <x:sheet xmlns:r="http://schemas.openxmlformats.org/officeDocument/2006/relationships" name="Daily Intake State" sheetId="31" r:id="Rca79ae49dbf64eb3"/>
    <x:sheet xmlns:r="http://schemas.openxmlformats.org/officeDocument/2006/relationships" name="Conversation State" sheetId="32" r:id="R3993e00b148a486c"/>
    <x:sheet xmlns:r="http://schemas.openxmlformats.org/officeDocument/2006/relationships" name="API Contract" sheetId="33" r:id="R688cbd32b54749bc"/>
    <x:sheet xmlns:r="http://schemas.openxmlformats.org/officeDocument/2006/relationships" name="v0.7 Dashboard" sheetId="34" r:id="R88bbaba2c5e1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3C2B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0"/>
      <x:color rgb="FF063C2B"/>
      <x:name val="Aptos"/>
    </x:font>
    <x:font>
      <x:sz val="10"/>
      <x:name val="Aptos"/>
    </x:font>
    <x:font>
      <x:b/>
      <x:sz val="11"/>
      <x:name val="Carlito"/>
    </x:font>
    <x:font>
      <x:b/>
      <x:sz val="11"/>
      <x:color rgb="FF3A2A13"/>
      <x:name val="Carlito"/>
    </x:font>
    <x:font>
      <x:b/>
      <x:sz val="15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5C40"/>
      </x:patternFill>
    </x:fill>
    <x:fill>
      <x:patternFill patternType="solid">
        <x:fgColor rgb="FFEAF4EC"/>
      </x:patternFill>
    </x:fill>
    <x:fill>
      <x:patternFill patternType="solid">
        <x:fgColor rgb="FF0B5C40"/>
      </x:patternFill>
    </x:fill>
    <x:fill>
      <x:patternFill patternType="solid">
        <x:fgColor rgb="FF2F6B3B"/>
      </x:patternFill>
    </x:fill>
    <x:fill>
      <x:patternFill patternType="solid">
        <x:fgColor rgb="FF1F5D42"/>
      </x:patternFill>
    </x:fill>
    <x:fill>
      <x:patternFill patternType="solid">
        <x:fgColor rgb="FFD9EAD3"/>
      </x:patternFill>
    </x:fill>
    <x:fill>
      <x:patternFill patternType="solid">
        <x:fgColor rgb="FF2F6B3B"/>
      </x:patternFill>
    </x:fill>
    <x:fill>
      <x:patternFill patternType="solid">
        <x:fgColor rgb="FFF3C64E"/>
      </x:patternFill>
    </x:fill>
    <x:fill>
      <x:patternFill patternType="solid">
        <x:fgColor rgb="FF2F6B3B"/>
      </x:patternFill>
    </x:fill>
    <x:fill>
      <x:patternFill patternType="solid">
        <x:fgColor rgb="FFF3C64E"/>
      </x:patternFill>
    </x:fill>
    <x:fill>
      <x:patternFill patternType="solid">
        <x:fgColor rgb="FF2F6B3B"/>
      </x:patternFill>
    </x:fill>
    <x:fill>
      <x:patternFill patternType="solid">
        <x:fgColor rgb="FFFFF4CC"/>
      </x:patternFill>
    </x:fill>
    <x:fill>
      <x:patternFill patternType="solid">
        <x:fgColor rgb="FFEAF4EC"/>
      </x:patternFill>
    </x:fill>
    <x:fill>
      <x:patternFill patternType="solid">
        <x:fgColor rgb="FFF8F8F4"/>
      </x:patternFill>
    </x:fill>
    <x:fill>
      <x:patternFill patternType="solid">
        <x:fgColor rgb="FFF3C64E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 wrapText="1"/>
    </x:xf>
    <x:xf numFmtId="0" fontId="8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DE68A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aec78000641c2" /><Relationship Type="http://schemas.openxmlformats.org/officeDocument/2006/relationships/theme" Target="/xl/theme/theme1.xml" Id="R88b7ab8840cb4840" /><Relationship Type="http://schemas.microsoft.com/office/2022/11/relationships/FeaturePropertyBag" Target="/xl/featurePropertyBag/featurePropertyBag.xml" Id="Re843009f1c014b98" /><Relationship Type="http://schemas.openxmlformats.org/officeDocument/2006/relationships/sharedStrings" Target="/xl/sharedStrings.xml" Id="Rf0c1691d643945e2" /><Relationship Type="http://schemas.openxmlformats.org/officeDocument/2006/relationships/worksheet" Target="/xl/worksheets/sheet1.xml" Id="R2b167318d14f4ce2" /><Relationship Type="http://schemas.openxmlformats.org/officeDocument/2006/relationships/worksheet" Target="/xl/worksheets/sheet2.xml" Id="R3a5dcd9928d34d40" /><Relationship Type="http://schemas.openxmlformats.org/officeDocument/2006/relationships/worksheet" Target="/xl/worksheets/sheet3.xml" Id="Racaf3b729f6f4ef9" /><Relationship Type="http://schemas.openxmlformats.org/officeDocument/2006/relationships/worksheet" Target="/xl/worksheets/sheet4.xml" Id="Rc1ed29ea9aba4d91" /><Relationship Type="http://schemas.openxmlformats.org/officeDocument/2006/relationships/worksheet" Target="/xl/worksheets/sheet5.xml" Id="Rf94d9903a9824708" /><Relationship Type="http://schemas.openxmlformats.org/officeDocument/2006/relationships/worksheet" Target="/xl/worksheets/sheet6.xml" Id="R0df8b91699554fc7" /><Relationship Type="http://schemas.openxmlformats.org/officeDocument/2006/relationships/worksheet" Target="/xl/worksheets/sheet7.xml" Id="R7d62e303488141e3" /><Relationship Type="http://schemas.openxmlformats.org/officeDocument/2006/relationships/worksheet" Target="/xl/worksheets/sheet8.xml" Id="Rcf2001e91caf4d79" /><Relationship Type="http://schemas.openxmlformats.org/officeDocument/2006/relationships/worksheet" Target="/xl/worksheets/sheet9.xml" Id="R684a8b33d5384633" /><Relationship Type="http://schemas.openxmlformats.org/officeDocument/2006/relationships/worksheet" Target="/xl/worksheets/sheet10.xml" Id="R7b9bde577e2a4e66" /><Relationship Type="http://schemas.openxmlformats.org/officeDocument/2006/relationships/worksheet" Target="/xl/worksheets/sheet11.xml" Id="R5811e53373e54389" /><Relationship Type="http://schemas.openxmlformats.org/officeDocument/2006/relationships/worksheet" Target="/xl/worksheets/sheet12.xml" Id="R7fe8fe3c0f724990" /><Relationship Type="http://schemas.openxmlformats.org/officeDocument/2006/relationships/worksheet" Target="/xl/worksheets/sheet13.xml" Id="R8b87a7933aef4875" /><Relationship Type="http://schemas.openxmlformats.org/officeDocument/2006/relationships/worksheet" Target="/xl/worksheets/sheet14.xml" Id="Rd91477adddc2450d" /><Relationship Type="http://schemas.openxmlformats.org/officeDocument/2006/relationships/worksheet" Target="/xl/worksheets/sheet15.xml" Id="R4d70dba86cbb4648" /><Relationship Type="http://schemas.openxmlformats.org/officeDocument/2006/relationships/worksheet" Target="/xl/worksheets/sheet16.xml" Id="R0c2e3101d8164cb5" /><Relationship Type="http://schemas.openxmlformats.org/officeDocument/2006/relationships/worksheet" Target="/xl/worksheets/sheet17.xml" Id="R70bfa66dcb314a16" /><Relationship Type="http://schemas.openxmlformats.org/officeDocument/2006/relationships/worksheet" Target="/xl/worksheets/sheet18.xml" Id="R979f5bdec8284911" /><Relationship Type="http://schemas.openxmlformats.org/officeDocument/2006/relationships/worksheet" Target="/xl/worksheets/sheet19.xml" Id="R80c994bb43aa4a18" /><Relationship Type="http://schemas.openxmlformats.org/officeDocument/2006/relationships/worksheet" Target="/xl/worksheets/sheet20.xml" Id="Re0762dbeacf240fd" /><Relationship Type="http://schemas.openxmlformats.org/officeDocument/2006/relationships/worksheet" Target="/xl/worksheets/sheet21.xml" Id="Raf6c4ba509de464b" /><Relationship Type="http://schemas.openxmlformats.org/officeDocument/2006/relationships/worksheet" Target="/xl/worksheets/sheet22.xml" Id="R1423465011db4f8b" /><Relationship Type="http://schemas.openxmlformats.org/officeDocument/2006/relationships/worksheet" Target="/xl/worksheets/sheet23.xml" Id="Rc8506dca3231436e" /><Relationship Type="http://schemas.openxmlformats.org/officeDocument/2006/relationships/worksheet" Target="/xl/worksheets/sheet24.xml" Id="R5a85433dddc14777" /><Relationship Type="http://schemas.openxmlformats.org/officeDocument/2006/relationships/worksheet" Target="/xl/worksheets/sheet25.xml" Id="R2076eea238ce4d75" /><Relationship Type="http://schemas.openxmlformats.org/officeDocument/2006/relationships/worksheet" Target="/xl/worksheets/sheet26.xml" Id="R7e06ec9a65c14eec" /><Relationship Type="http://schemas.openxmlformats.org/officeDocument/2006/relationships/worksheet" Target="/xl/worksheets/sheet27.xml" Id="R2cb91b08788b4a40" /><Relationship Type="http://schemas.openxmlformats.org/officeDocument/2006/relationships/worksheet" Target="/xl/worksheets/sheet28.xml" Id="Re8cca694c70d4626" /><Relationship Type="http://schemas.openxmlformats.org/officeDocument/2006/relationships/worksheet" Target="/xl/worksheets/sheet29.xml" Id="R28b45d31cd544937" /><Relationship Type="http://schemas.openxmlformats.org/officeDocument/2006/relationships/worksheet" Target="/xl/worksheets/sheet30.xml" Id="R2d98b74431274e33" /><Relationship Type="http://schemas.openxmlformats.org/officeDocument/2006/relationships/worksheet" Target="/xl/worksheets/sheet31.xml" Id="Rca79ae49dbf64eb3" /><Relationship Type="http://schemas.openxmlformats.org/officeDocument/2006/relationships/worksheet" Target="/xl/worksheets/sheet32.xml" Id="R3993e00b148a486c" /><Relationship Type="http://schemas.openxmlformats.org/officeDocument/2006/relationships/worksheet" Target="/xl/worksheets/sheet33.xml" Id="R688cbd32b54749bc" /><Relationship Type="http://schemas.openxmlformats.org/officeDocument/2006/relationships/worksheet" Target="/xl/worksheets/sheet34.xml" Id="R88bbaba2c5e143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Registry" displayName="SourceRegistry" ref="A1:I4" headerRowCount="1" totalsRowCount="0" totalsRowShown="0">
  <x:tableColumns count="9">
    <x:tableColumn id="1" name="Country"/>
    <x:tableColumn id="2" name="Primary source"/>
    <x:tableColumn id="3" name="Year"/>
    <x:tableColumn id="4" name="Format"/>
    <x:tableColumn id="5" name="Authority"/>
    <x:tableColumn id="6" name="Coverage / note"/>
    <x:tableColumn id="7" name="Access status"/>
    <x:tableColumn id="8" name="Source URL"/>
    <x:tableColumn id="9" name="Pikabor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igeriaStarter" displayName="NigeriaStarter" ref="A1:T16" headerRowCount="1" totalsRowCount="0" totalsRowShown="0">
  <x:tableColumns count="20">
    <x:tableColumn id="1" name="pikabora_food_id"/>
    <x:tableColumn id="2" name="country_code"/>
    <x:tableColumn id="3" name="source_food_id"/>
    <x:tableColumn id="4" name="source_food_name"/>
    <x:tableColumn id="5" name="canonical_name"/>
    <x:tableColumn id="6" name="food_group"/>
    <x:tableColumn id="7" name="preparation_state"/>
    <x:tableColumn id="8" name="recipe_or_ingredient"/>
    <x:tableColumn id="9" name="basis_g"/>
    <x:tableColumn id="10" name="energy_kcal"/>
    <x:tableColumn id="11" name="protein_g"/>
    <x:tableColumn id="12" name="fat_g"/>
    <x:tableColumn id="13" name="carbohydrate_g"/>
    <x:tableColumn id="14" name="fibre_g"/>
    <x:tableColumn id="15" name="source_refs"/>
    <x:tableColumn id="16" name="value_status"/>
    <x:tableColumn id="17" name="data_quality_flag"/>
    <x:tableColumn id="18" name="source_title"/>
    <x:tableColumn id="19" name="source_year"/>
    <x:tableColumn id="20" name="source_url_or_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ryPackStatus" displayName="CountryPackStatus" ref="A1:J4" headerRowCount="1" totalsRowCount="0" totalsRowShown="0">
  <x:tableColumns count="10">
    <x:tableColumn id="1" name="Country"/>
    <x:tableColumn id="2" name="Composition source"/>
    <x:tableColumn id="3" name="Source acquired"/>
    <x:tableColumn id="4" name="Schema mapped"/>
    <x:tableColumn id="5" name="Records ingested"/>
    <x:tableColumn id="6" name="Local aliases"/>
    <x:tableColumn id="7" name="Household measures"/>
    <x:tableColumn id="8" name="Recipe layer"/>
    <x:tableColumn id="9" name="Life-stage rules"/>
    <x:tableColumn id="10" name="Curren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orityMaternalFoods" displayName="PriorityMaternalFoods" ref="A1:AB30" headerRowCount="1" totalsRowCount="0" totalsRowShown="0">
  <x:tableColumns count="28">
    <x:tableColumn id="1" name="pikabora_food_id"/>
    <x:tableColumn id="2" name="country_code"/>
    <x:tableColumn id="3" name="source_food_id"/>
    <x:tableColumn id="4" name="source_food_name"/>
    <x:tableColumn id="5" name="local_or_french_name"/>
    <x:tableColumn id="6" name="food_group"/>
    <x:tableColumn id="7" name="preparation_state"/>
    <x:tableColumn id="8" name="record_type"/>
    <x:tableColumn id="9" name="basis_g"/>
    <x:tableColumn id="10" name="energy_kcal"/>
    <x:tableColumn id="11" name="protein_g"/>
    <x:tableColumn id="12" name="fat_g"/>
    <x:tableColumn id="13" name="available_carbohydrate_g"/>
    <x:tableColumn id="14" name="fibre_g"/>
    <x:tableColumn id="15" name="calcium_mg"/>
    <x:tableColumn id="16" name="iron_mg"/>
    <x:tableColumn id="17" name="magnesium_mg"/>
    <x:tableColumn id="18" name="zinc_mg"/>
    <x:tableColumn id="19" name="vitamin_a_rae_mcg"/>
    <x:tableColumn id="20" name="folate_mcg"/>
    <x:tableColumn id="21" name="vitamin_b12_mcg"/>
    <x:tableColumn id="22" name="vitamin_c_mg"/>
    <x:tableColumn id="23" name="source_scope"/>
    <x:tableColumn id="24" name="source_title"/>
    <x:tableColumn id="25" name="source_year"/>
    <x:tableColumn id="26" name="source_file"/>
    <x:tableColumn id="27" name="value_status"/>
    <x:tableColumn id="28" name="recommendation_readines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alIntelligenceTable" displayName="MealIntelligenceTable" ref="A1:P19" headerRowCount="1" totalsRowCount="0" totalsRowShown="0">
  <x:tableColumns count="16">
    <x:tableColumn id="1" name="Meal_ID"/>
    <x:tableColumn id="2" name="Country"/>
    <x:tableColumn id="3" name="Meal_Name"/>
    <x:tableColumn id="4" name="Local_Name"/>
    <x:tableColumn id="5" name="Meal_Type"/>
    <x:tableColumn id="6" name="Primary_Staple"/>
    <x:tableColumn id="7" name="Protein_Component"/>
    <x:tableColumn id="8" name="Vegetable_Fruit_Component"/>
    <x:tableColumn id="9" name="Optional_Addition"/>
    <x:tableColumn id="10" name="Maternal_Nutrition_Strength"/>
    <x:tableColumn id="11" name="Likely_Gap"/>
    <x:tableColumn id="12" name="Improvement_Action"/>
    <x:tableColumn id="13" name="Budget_Band"/>
    <x:tableColumn id="14" name="Source_Basis"/>
    <x:tableColumn id="15" name="Validation_Status"/>
    <x:tableColumn id="16" name="Engine_Read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alComponentsTable" displayName="MealComponentsTable" ref="A1:H73" headerRowCount="1" totalsRowCount="0" totalsRowShown="0">
  <x:tableColumns count="8">
    <x:tableColumn id="1" name="Meal_ID"/>
    <x:tableColumn id="2" name="Component_Order"/>
    <x:tableColumn id="3" name="Component_Role"/>
    <x:tableColumn id="4" name="Canonical_Food_or_Dish"/>
    <x:tableColumn id="5" name="Country_Source_Preference"/>
    <x:tableColumn id="6" name="Required"/>
    <x:tableColumn id="7" name="Substitution_Group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ouseholdPortionsTable" displayName="HouseholdPortionsTable" ref="A1:G10" headerRowCount="1" totalsRowCount="0" totalsRowShown="0">
  <x:tableColumns count="7">
    <x:tableColumn id="1" name="Country"/>
    <x:tableColumn id="2" name="Food_or_Dish"/>
    <x:tableColumn id="3" name="Household_Measure"/>
    <x:tableColumn id="4" name="Default_Gram_Value"/>
    <x:tableColumn id="5" name="Status"/>
    <x:tableColumn id="6" name="Use_In_Engine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commendationLogicTable" displayName="RecommendationLogicTable" ref="A1:F11" headerRowCount="1" totalsRowCount="0" totalsRowShown="0">
  <x:tableColumns count="6">
    <x:tableColumn id="1" name="Rule_ID"/>
    <x:tableColumn id="2" name="Trigger"/>
    <x:tableColumn id="3" name="Engine_Action"/>
    <x:tableColumn id="4" name="Reason"/>
    <x:tableColumn id="5" name="Safety_Level"/>
    <x:tableColumn id="6" name="Implementation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egnancyStageRulesTable" displayName="PregnancyStageRulesTable" ref="A1:I10" headerRowCount="1" totalsRowCount="0" totalsRowShown="0">
  <x:tableColumns count="9">
    <x:tableColumn id="1" name="Rule_ID"/>
    <x:tableColumn id="2" name="Life_Stage"/>
    <x:tableColumn id="3" name="Gestational_Window"/>
    <x:tableColumn id="4" name="Rule_Type"/>
    <x:tableColumn id="5" name="Nutrient_or_Domain"/>
    <x:tableColumn id="6" name="Engine_Instruction"/>
    <x:tableColumn id="7" name="Clinical_Boundary"/>
    <x:tableColumn id="8" name="Source_Basis"/>
    <x:tableColumn id="9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ilyFoodGroupMemoryTable" displayName="DailyFoodGroupMemoryTable" ref="A1:H11" headerRowCount="1" totalsRowCount="0" totalsRowShown="0">
  <x:tableColumns count="8">
    <x:tableColumn id="1" name="Food_Group_ID"/>
    <x:tableColumn id="2" name="Food_Group"/>
    <x:tableColumn id="3" name="Examples_for_Pikabora"/>
    <x:tableColumn id="4" name="24h_Present"/>
    <x:tableColumn id="5" name="Last_Consumed_Time"/>
    <x:tableColumn id="6" name="Confidence"/>
    <x:tableColumn id="7" name="Engine_Use"/>
    <x:tableColumn id="8" name="Pregnancy_Interpret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QuantitativeScoringTable" displayName="QuantitativeScoringTable" ref="A1:F11" headerRowCount="1" totalsRowCount="0" totalsRowShown="0">
  <x:tableColumns count="6">
    <x:tableColumn id="1" name="Score_Component"/>
    <x:tableColumn id="2" name="Max_Points"/>
    <x:tableColumn id="3" name="Condition"/>
    <x:tableColumn id="4" name="Points"/>
    <x:tableColumn id="5" name="Hard_Gate"/>
    <x:tableColumn id="6" name="Explan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ndidateRankingTable" displayName="CandidateRankingTable" ref="A1:E6" headerRowCount="1" totalsRowCount="0" totalsRowShown="0">
  <x:tableColumns count="5">
    <x:tableColumn id="1" name="Rank_Band"/>
    <x:tableColumn id="2" name="Score_Range"/>
    <x:tableColumn id="3" name="Output_Behaviour"/>
    <x:tableColumn id="4" name="Allowed_Language"/>
    <x:tableColumn id="5" name="Blocked_Languag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ortionValidationQueueTable" displayName="PortionValidationQueueTable" ref="A1:L11" headerRowCount="1" totalsRowCount="0" totalsRowShown="0">
  <x:tableColumns count="12">
    <x:tableColumn id="1" name="Portion_ID"/>
    <x:tableColumn id="2" name="Country"/>
    <x:tableColumn id="3" name="Food_or_Dish"/>
    <x:tableColumn id="4" name="Household_Term"/>
    <x:tableColumn id="5" name="Source_Gram_Value"/>
    <x:tableColumn id="6" name="Source_Type"/>
    <x:tableColumn id="7" name="Pilot_Gram_Value"/>
    <x:tableColumn id="8" name="Replicates"/>
    <x:tableColumn id="9" name="Mean_Validated_g"/>
    <x:tableColumn id="10" name="Validation_Status"/>
    <x:tableColumn id="11" name="Engine_Mode"/>
    <x:tableColumn id="12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NutrientCalculatorTable" displayName="NutrientCalculatorTable" ref="A1:S16" headerRowCount="1" totalsRowCount="0" totalsRowShown="0">
  <x:tableColumns count="19">
    <x:tableColumn id="1" name="Calc_ID"/>
    <x:tableColumn id="2" name="Country"/>
    <x:tableColumn id="3" name="Food_ID"/>
    <x:tableColumn id="4" name="Food_Name"/>
    <x:tableColumn id="5" name="Portion_g"/>
    <x:tableColumn id="6" name="Energy_kcal_per100g"/>
    <x:tableColumn id="7" name="Protein_g_per100g"/>
    <x:tableColumn id="8" name="Iron_mg_per100g"/>
    <x:tableColumn id="9" name="Folate_ug_per100g"/>
    <x:tableColumn id="10" name="Calcium_mg_per100g"/>
    <x:tableColumn id="11" name="VitC_mg_per100g"/>
    <x:tableColumn id="12" name="Energy_kcal"/>
    <x:tableColumn id="13" name="Protein_g"/>
    <x:tableColumn id="14" name="Iron_mg"/>
    <x:tableColumn id="15" name="Folate_ug"/>
    <x:tableColumn id="16" name="Calcium_mg"/>
    <x:tableColumn id="17" name="VitC_mg"/>
    <x:tableColumn id="18" name="Data_Confidence"/>
    <x:tableColumn id="19" name="Quant_Output_Allowe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ilyIntakeStateTable" displayName="DailyIntakeStateTable" ref="A1:S3" headerRowCount="1" totalsRowCount="0" totalsRowShown="0">
  <x:tableColumns count="19">
    <x:tableColumn id="1" name="User_State_ID"/>
    <x:tableColumn id="2" name="Date"/>
    <x:tableColumn id="3" name="Country"/>
    <x:tableColumn id="4" name="Pregnancy_Week"/>
    <x:tableColumn id="5" name="Meal_Event"/>
    <x:tableColumn id="6" name="Food_Groups_Count"/>
    <x:tableColumn id="7" name="Pulse"/>
    <x:tableColumn id="8" name="Dairy"/>
    <x:tableColumn id="9" name="Meat_Fish"/>
    <x:tableColumn id="10" name="Egg"/>
    <x:tableColumn id="11" name="Dark_Green_Leafy"/>
    <x:tableColumn id="12" name="VitA_FruitVeg"/>
    <x:tableColumn id="13" name="Other_Veg"/>
    <x:tableColumn id="14" name="Other_Fruit"/>
    <x:tableColumn id="15" name="Grain_Root_Plantain"/>
    <x:tableColumn id="16" name="Nuts_Seeds"/>
    <x:tableColumn id="17" name="Qualitative_Gap_Signal"/>
    <x:tableColumn id="18" name="Clinical_Flag"/>
    <x:tableColumn id="19" name="Next_Ac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nversationStateTable" displayName="ConversationStateTable" ref="A1:F15" headerRowCount="1" totalsRowCount="0" totalsRowShown="0">
  <x:tableColumns count="6">
    <x:tableColumn id="1" name="Field"/>
    <x:tableColumn id="2" name="Type"/>
    <x:tableColumn id="3" name="Required"/>
    <x:tableColumn id="4" name="Example"/>
    <x:tableColumn id="5" name="Purpose"/>
    <x:tableColumn id="6" name="Privacy_or_Safety_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PIContractTable" displayName="APIContractTable" ref="A1:F10" headerRowCount="1" totalsRowCount="0" totalsRowShown="0">
  <x:tableColumns count="6">
    <x:tableColumn id="1" name="Endpoint"/>
    <x:tableColumn id="2" name="Method"/>
    <x:tableColumn id="3" name="Request_Field"/>
    <x:tableColumn id="4" name="Required"/>
    <x:tableColumn id="5" name="Response_Field"/>
    <x:tableColumn id="6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92e503711c4f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d3651266e174a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95cfd7bb571479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664e323be75e4c0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5.xml" Id="Reb25e07a1d934fa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6.xml" Id="R408e13af272b4da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7.xml" Id="R6bce399b8dd0462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8.xml" Id="Rb482190abc4b4f0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9.xml" Id="R92d85323a9904a4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0.xml" Id="R0ab1171c7231484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1.xml" Id="R9832118e261a4ae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2.xml" Id="Rf946290237984e3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3.xml" Id="R54fac204a42649f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4.xml" Id="R6536e2d95ed44b4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5.xml" Id="Ra1f1e0d423104c8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6.xml" Id="R3e1f1458f79443b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7.xml" Id="Rd685a61dc3a143ac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79.62999725341797" hidden="0" customWidth="1"/>
  </x:cols>
  <x:sheetData>
    <x:row r="1" ht="15" hidden="0" customHeight="1">
      <x:c r="A1" s="41" t="str">
        <x:v>Pikabora Master Food Database</x:v>
      </x:c>
      <x:c r="B1" s="41" t="str">
        <x:v>v0.3</x:v>
      </x:c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15" hidden="0" customHeight="1">
      <x:c r="A2" s="28" t="str">
        <x:v>Purpose</x:v>
      </x:c>
      <x:c r="B2" s="29" t="str">
        <x:v>Production-oriented harmonisation workbook for Kenya, Nigeria and Senegal nutrition intelligence.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5" hidden="0" customHeight="1">
      <x:c r="A3" s="28" t="str">
        <x:v>Architecture</x:v>
      </x:c>
      <x:c r="B3" s="29" t="str">
        <x:v>Country source records remain separate; canonical IDs and INFOODS nutrient mappings enable harmonisation.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5" hidden="0" customHeight="1">
      <x:c r="A4" s="28" t="str">
        <x:v>Kenya</x:v>
      </x:c>
      <x:c r="B4" s="29" t="str">
        <x:v>KFCT 2018 official PDF ingested; 15 starter records transcribed from Table 1.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 ht="15" hidden="0" customHeight="1">
      <x:c r="A5" s="28" t="str">
        <x:v>Nigeria</x:v>
      </x:c>
      <x:c r="B5" s="29" t="str">
        <x:v>NFCT 2016 starter records retained from v0.2.</x:v>
      </x:c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 ht="15" hidden="0" customHeight="1">
      <x:c r="A6" s="28" t="str">
        <x:v>Senegal</x:v>
      </x:c>
      <x:c r="B6" s="29" t="str">
        <x:v>WAFCT 2019 source ingested with Senegal-explicit starter record; regional provenance retained.</x:v>
      </x:c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 ht="15" hidden="0" customHeight="1">
      <x:c r="A7" s="29" t="str">
        <x:v>Basis</x:v>
      </x:c>
      <x:c r="B7" s="29" t="str">
        <x:v>Nutrient values are stored per 100 g edible portion unless source says otherwise.</x:v>
      </x:c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15" hidden="0" customHeight="1">
      <x:c r="A8" s="29" t="str">
        <x:v>Missing values</x:v>
      </x:c>
      <x:c r="B8" s="29" t="str">
        <x:v>Null is not zero. Trace/lower-quality/calculated/borrowed values must retain flags.</x:v>
      </x:c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15" hidden="0" customHeight="1">
      <x:c r="A9" s="29" t="str">
        <x:v>Recommendation gate</x:v>
      </x:c>
      <x:c r="B9" s="29" t="str">
        <x:v>Only VERIFIED records should feed production recommendations.</x:v>
      </x:c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15" hidden="0" customHeight="1">
      <x:c r="A10" s="29" t="str">
        <x:v>Licensing</x:v>
      </x:c>
      <x:c r="B10" s="29" t="str">
        <x:v>Source-specific licence/reuse conditions must be cleared before commercial production use.</x:v>
      </x:c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Next ingestion</x:v>
      </x:c>
      <x:c r="B11" s="14" t="str">
        <x:v>Expand priority maternal foods, aliases, household measures, and mixed dishes for all three country packs.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Version date</x:v>
      </x:c>
      <x:c r="B12" s="14" t="str">
        <x:v>2026-09-21</x:v>
      </x:c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v0.4 build</x:v>
      </x:c>
      <x:c r="B13" s="14" t="str">
        <x:v>Added Priority Maternal Foods, Ingestion Dashboard and Ingestion Notes; 29 priority records across Kenya, Nigeria and Senegal/WAFCT.</x:v>
      </x:c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QA stance</x:v>
      </x:c>
      <x:c r="B14" s="14" t="str">
        <x:v>Nigeria micronutrient fields are left blank where PDF column alignment is not yet verified; no values are guessed.</x:v>
      </x:c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39.5" hidden="0" customWidth="1"/>
    <x:col min="3" max="3" width="6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3.630000114440918" hidden="0" customWidth="1"/>
    <x:col min="15" max="15" width="24" hidden="0" customWidth="1"/>
    <x:col min="17" max="17" width="24" hidden="0" customWidth="1"/>
    <x:col min="18" max="18" width="24" hidden="0" customWidth="1"/>
    <x:col min="20" max="20" width="24" hidden="0" customWidth="1"/>
  </x:cols>
  <x:sheetData>
    <x:row r="1" ht="15" hidden="0" customHeight="1">
      <x:c r="A1" s="44" t="str">
        <x:v>Country</x:v>
      </x:c>
      <x:c r="B1" s="44" t="str">
        <x:v>Primary source</x:v>
      </x:c>
      <x:c r="C1" s="44" t="str">
        <x:v>Year</x:v>
      </x:c>
      <x:c r="D1" s="44" t="str">
        <x:v>Format</x:v>
      </x:c>
      <x:c r="E1" s="44" t="str">
        <x:v>Authority</x:v>
      </x:c>
      <x:c r="F1" s="44" t="str">
        <x:v>Coverage / note</x:v>
      </x:c>
      <x:c r="G1" s="44" t="str">
        <x:v>Access status</x:v>
      </x:c>
      <x:c r="H1" s="44" t="str">
        <x:v>Source URL</x:v>
      </x:c>
      <x:c r="I1" s="44" t="str">
        <x:v>Pikabora status</x:v>
      </x:c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15" hidden="0" customHeight="1">
      <x:c r="A2" s="29" t="str">
        <x:v>Kenya</x:v>
      </x:c>
      <x:c r="B2" s="29" t="str">
        <x:v>Kenya Food Composition Tables</x:v>
      </x:c>
      <x:c r="C2" s="29" t="str">
        <x:v>2018</x:v>
      </x:c>
      <x:c r="D2" s="29" t="str">
        <x:v>PDF + electronic</x:v>
      </x:c>
      <x:c r="E2" s="29" t="str">
        <x:v>Government of Kenya / FAO</x:v>
      </x:c>
      <x:c r="F2" s="29" t="str">
        <x:v>509 raw/cooked entries + 142 mixed dishes in publication; official directory also lists electronic file.</x:v>
      </x:c>
      <x:c r="G2" s="29" t="str">
        <x:v>User PDF uploaded; official source verified</x:v>
      </x:c>
      <x:c r="H2" s="29" t="str">
        <x:v>https://www.fao.org/food-composition/tables-and-databases/detail/kenya-food-composition-tables/en</x:v>
      </x:c>
      <x:c r="I2" s="29" t="str">
        <x:v>INGESTION ACTIVE</x:v>
      </x:c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5" hidden="0" customHeight="1">
      <x:c r="A3" s="29" t="str">
        <x:v>Nigeria</x:v>
      </x:c>
      <x:c r="B3" s="29" t="str">
        <x:v>Nigeria Food Composition Table, Version 1.0</x:v>
      </x:c>
      <x:c r="C3" s="29" t="str">
        <x:v>2016</x:v>
      </x:c>
      <x:c r="D3" s="29" t="str">
        <x:v>PDF</x:v>
      </x:c>
      <x:c r="E3" s="29" t="str">
        <x:v>Nigeria FCT authors/contributors</x:v>
      </x:c>
      <x:c r="F3" s="29" t="str">
        <x:v>Food components per 100 g edible portion; includes local/prepared foods and source codes.</x:v>
      </x:c>
      <x:c r="G3" s="29" t="str">
        <x:v>User PDF uploaded</x:v>
      </x:c>
      <x:c r="H3" s="29" t="str">
        <x:v>Nigeria Food Composition Table.pdf</x:v>
      </x:c>
      <x:c r="I3" s="29" t="str">
        <x:v>INGESTION ACTIVE</x:v>
      </x:c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5" hidden="0" customHeight="1">
      <x:c r="A4" s="29" t="str">
        <x:v>Senegal</x:v>
      </x:c>
      <x:c r="B4" s="29" t="str">
        <x:v>FAO/INFOODS Food Composition Table for Western Africa</x:v>
      </x:c>
      <x:c r="C4" s="29" t="str">
        <x:v>2019</x:v>
      </x:c>
      <x:c r="D4" s="29" t="str">
        <x:v>PDF + Excel</x:v>
      </x:c>
      <x:c r="E4" s="29" t="str">
        <x:v>FAO/INFOODS</x:v>
      </x:c>
      <x:c r="F4" s="29" t="str">
        <x:v>Regional West Africa source; Senegal-applicable records retained with regional provenance.</x:v>
      </x:c>
      <x:c r="G4" s="29" t="str">
        <x:v>User PDF uploaded</x:v>
      </x:c>
      <x:c r="H4" s="29" t="str">
        <x:v>FAO/INFOODS WAFCT 2019</x:v>
      </x:c>
      <x:c r="I4" s="29" t="str">
        <x:v>INGESTION ACTIVE</x:v>
      </x:c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6192e503711c4f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5.880000114440918" hidden="0" customWidth="1"/>
    <x:col min="3" max="3" width="7.630000114440918" hidden="0" customWidth="1"/>
    <x:col min="4" max="4" width="37.380001068115234" hidden="0" customWidth="1"/>
    <x:col min="5" max="5" width="31.8799991607666" hidden="0" customWidth="1"/>
  </x:cols>
  <x:sheetData>
    <x:row r="1" ht="15" hidden="0" customHeight="1">
      <x:c r="A1" s="34" t="str">
        <x:v>Field</x:v>
      </x:c>
      <x:c r="B1" s="34" t="str">
        <x:v>Type</x:v>
      </x:c>
      <x:c r="C1" s="34" t="str">
        <x:v>Required?</x:v>
      </x:c>
      <x:c r="D1" s="34" t="str">
        <x:v>Description</x:v>
      </x:c>
      <x:c r="E1" s="34" t="str">
        <x:v>Example</x:v>
      </x:c>
    </x:row>
    <x:row r="2" ht="15" hidden="0" customHeight="1">
      <x:c r="A2" s="29" t="str">
        <x:v>pikabora_food_id</x:v>
      </x:c>
      <x:c r="B2" s="29" t="str">
        <x:v>text</x:v>
      </x:c>
      <x:c r="C2" s="29" t="str">
        <x:v>Yes</x:v>
      </x:c>
      <x:c r="D2" s="29" t="str">
        <x:v>Stable Pikabora identifier</x:v>
      </x:c>
      <x:c r="E2" s="29" t="str">
        <x:v>NG-03-02-09</x:v>
      </x:c>
    </x:row>
    <x:row r="3" ht="15" hidden="0" customHeight="1">
      <x:c r="A3" s="29" t="str">
        <x:v>country_code</x:v>
      </x:c>
      <x:c r="B3" s="29" t="str">
        <x:v>text</x:v>
      </x:c>
      <x:c r="C3" s="29" t="str">
        <x:v>Yes</x:v>
      </x:c>
      <x:c r="D3" s="29" t="str">
        <x:v>ISO alpha-2 country code</x:v>
      </x:c>
      <x:c r="E3" s="29" t="str">
        <x:v>NG</x:v>
      </x:c>
    </x:row>
    <x:row r="4" ht="15" hidden="0" customHeight="1">
      <x:c r="A4" s="29" t="str">
        <x:v>source_food_id</x:v>
      </x:c>
      <x:c r="B4" s="29" t="str">
        <x:v>text</x:v>
      </x:c>
      <x:c r="C4" s="29" t="str">
        <x:v>Yes</x:v>
      </x:c>
      <x:c r="D4" s="29" t="str">
        <x:v>Original source food code</x:v>
      </x:c>
      <x:c r="E4" s="29" t="str">
        <x:v>03_02_09</x:v>
      </x:c>
    </x:row>
    <x:row r="5" ht="15" hidden="0" customHeight="1">
      <x:c r="A5" s="29" t="str">
        <x:v>canonical_name</x:v>
      </x:c>
      <x:c r="B5" s="29" t="str">
        <x:v>text</x:v>
      </x:c>
      <x:c r="C5" s="29" t="str">
        <x:v>Yes</x:v>
      </x:c>
      <x:c r="D5" s="29" t="str">
        <x:v>Normalized engine identity</x:v>
      </x:c>
      <x:c r="E5" s="29" t="str">
        <x:v>Bean pudding, steamed</x:v>
      </x:c>
    </x:row>
    <x:row r="6" ht="15" hidden="0" customHeight="1">
      <x:c r="A6" s="29" t="str">
        <x:v>source_food_name</x:v>
      </x:c>
      <x:c r="B6" s="29" t="str">
        <x:v>text</x:v>
      </x:c>
      <x:c r="C6" s="29" t="str">
        <x:v>Yes</x:v>
      </x:c>
      <x:c r="D6" s="29" t="str">
        <x:v>Name exactly as published</x:v>
      </x:c>
      <x:c r="E6" s="29" t="str">
        <x:v>Moin-Moin</x:v>
      </x:c>
    </x:row>
    <x:row r="7" ht="15" hidden="0" customHeight="1">
      <x:c r="A7" s="29" t="str">
        <x:v>local_name</x:v>
      </x:c>
      <x:c r="B7" s="29" t="str">
        <x:v>text</x:v>
      </x:c>
      <x:c r="C7" s="29" t="str">
        <x:v>No</x:v>
      </x:c>
      <x:c r="D7" s="29" t="str">
        <x:v>Local/common name</x:v>
      </x:c>
      <x:c r="E7" s="29" t="str">
        <x:v>Moin-Moin</x:v>
      </x:c>
    </x:row>
    <x:row r="8" ht="15" hidden="0" customHeight="1">
      <x:c r="A8" s="29" t="str">
        <x:v>local_language</x:v>
      </x:c>
      <x:c r="B8" s="29" t="str">
        <x:v>text</x:v>
      </x:c>
      <x:c r="C8" s="29" t="str">
        <x:v>No</x:v>
      </x:c>
      <x:c r="D8" s="29" t="str">
        <x:v>Language of local name</x:v>
      </x:c>
      <x:c r="E8" s="29" t="str">
        <x:v>Yoruba</x:v>
      </x:c>
    </x:row>
    <x:row r="9" ht="15" hidden="0" customHeight="1">
      <x:c r="A9" s="29" t="str">
        <x:v>english_name</x:v>
      </x:c>
      <x:c r="B9" s="29" t="str">
        <x:v>text</x:v>
      </x:c>
      <x:c r="C9" s="29" t="str">
        <x:v>No</x:v>
      </x:c>
      <x:c r="D9" s="29" t="str">
        <x:v>English description</x:v>
      </x:c>
      <x:c r="E9" s="29" t="str">
        <x:v>Beans soaked, dehulled, blended and steamed</x:v>
      </x:c>
    </x:row>
    <x:row r="10" ht="15" hidden="0" customHeight="1">
      <x:c r="A10" s="29" t="str">
        <x:v>french_name</x:v>
      </x:c>
      <x:c r="B10" s="29" t="str">
        <x:v>text</x:v>
      </x:c>
      <x:c r="C10" s="29" t="str">
        <x:v>No</x:v>
      </x:c>
      <x:c r="D10" s="29" t="str">
        <x:v>French name where available</x:v>
      </x:c>
      <x:c r="E10" s="29" t="str"/>
    </x:row>
    <x:row r="11" ht="15" hidden="0" customHeight="1">
      <x:c r="A11" s="29" t="str">
        <x:v>scientific_name</x:v>
      </x:c>
      <x:c r="B11" s="29" t="str">
        <x:v>text</x:v>
      </x:c>
      <x:c r="C11" s="29" t="str">
        <x:v>No</x:v>
      </x:c>
      <x:c r="D11" s="29" t="str">
        <x:v>Scientific name where published</x:v>
      </x:c>
      <x:c r="E11" s="29" t="str">
        <x:v>Vigna unguiculata</x:v>
      </x:c>
    </x:row>
    <x:row r="12" ht="15" hidden="0" customHeight="1">
      <x:c r="A12" s="29" t="str">
        <x:v>food_group</x:v>
      </x:c>
      <x:c r="B12" s="29" t="str">
        <x:v>text</x:v>
      </x:c>
      <x:c r="C12" s="29" t="str">
        <x:v>Yes</x:v>
      </x:c>
      <x:c r="D12" s="29" t="str">
        <x:v>Normalized Pikabora food group</x:v>
      </x:c>
      <x:c r="E12" s="29" t="str">
        <x:v>Legumes</x:v>
      </x:c>
    </x:row>
    <x:row r="13" ht="15" hidden="0" customHeight="1">
      <x:c r="A13" s="29" t="str">
        <x:v>source_food_group</x:v>
      </x:c>
      <x:c r="B13" s="29" t="str">
        <x:v>text</x:v>
      </x:c>
      <x:c r="C13" s="29" t="str">
        <x:v>Yes</x:v>
      </x:c>
      <x:c r="D13" s="29" t="str">
        <x:v>Food group as published</x:v>
      </x:c>
      <x:c r="E13" s="29" t="str">
        <x:v>Grain Legumes and Products</x:v>
      </x:c>
    </x:row>
    <x:row r="14" ht="15" hidden="0" customHeight="1">
      <x:c r="A14" s="29" t="str">
        <x:v>preparation_state</x:v>
      </x:c>
      <x:c r="B14" s="29" t="str">
        <x:v>text</x:v>
      </x:c>
      <x:c r="C14" s="29" t="str">
        <x:v>Yes</x:v>
      </x:c>
      <x:c r="D14" s="29" t="str">
        <x:v>Raw/boiled/fried/steamed/etc.</x:v>
      </x:c>
      <x:c r="E14" s="29" t="str">
        <x:v>Steamed</x:v>
      </x:c>
    </x:row>
    <x:row r="15" ht="15" hidden="0" customHeight="1">
      <x:c r="A15" s="29" t="str">
        <x:v>recipe_or_ingredient</x:v>
      </x:c>
      <x:c r="B15" s="29" t="str">
        <x:v>text</x:v>
      </x:c>
      <x:c r="C15" s="29" t="str">
        <x:v>Yes</x:v>
      </x:c>
      <x:c r="D15" s="29" t="str">
        <x:v>Ingredient / prepared food / mixed dish</x:v>
      </x:c>
      <x:c r="E15" s="29" t="str">
        <x:v>Prepared food</x:v>
      </x:c>
    </x:row>
    <x:row r="16" ht="15" hidden="0" customHeight="1">
      <x:c r="A16" s="29" t="str">
        <x:v>basis_g</x:v>
      </x:c>
      <x:c r="B16" s="29" t="str">
        <x:v>number</x:v>
      </x:c>
      <x:c r="C16" s="29" t="str">
        <x:v>Yes</x:v>
      </x:c>
      <x:c r="D16" s="29" t="str">
        <x:v>Reference edible amount</x:v>
      </x:c>
      <x:c r="E16" s="29" t="str">
        <x:v>100</x:v>
      </x:c>
    </x:row>
    <x:row r="17" ht="15" hidden="0" customHeight="1">
      <x:c r="A17" s="29" t="str">
        <x:v>energy_kcal</x:v>
      </x:c>
      <x:c r="B17" s="29" t="str">
        <x:v>number</x:v>
      </x:c>
      <x:c r="C17" s="29" t="str">
        <x:v>No</x:v>
      </x:c>
      <x:c r="D17" s="29" t="str">
        <x:v>kcal per basis</x:v>
      </x:c>
      <x:c r="E17" s="29" t="str">
        <x:v>108.41</x:v>
      </x:c>
    </x:row>
    <x:row r="18" ht="15" hidden="0" customHeight="1">
      <x:c r="A18" s="29" t="str">
        <x:v>protein_g</x:v>
      </x:c>
      <x:c r="B18" s="29" t="str">
        <x:v>number</x:v>
      </x:c>
      <x:c r="C18" s="29" t="str">
        <x:v>No</x:v>
      </x:c>
      <x:c r="D18" s="29" t="str">
        <x:v>g per basis</x:v>
      </x:c>
      <x:c r="E18" s="29" t="str">
        <x:v>6.47</x:v>
      </x:c>
    </x:row>
    <x:row r="19" ht="15" hidden="0" customHeight="1">
      <x:c r="A19" s="29" t="str">
        <x:v>fat_g</x:v>
      </x:c>
      <x:c r="B19" s="29" t="str">
        <x:v>number</x:v>
      </x:c>
      <x:c r="C19" s="29" t="str">
        <x:v>No</x:v>
      </x:c>
      <x:c r="D19" s="29" t="str">
        <x:v>g per basis</x:v>
      </x:c>
      <x:c r="E19" s="29" t="str">
        <x:v>2.17</x:v>
      </x:c>
    </x:row>
    <x:row r="20" ht="15" hidden="0" customHeight="1">
      <x:c r="A20" s="29" t="str">
        <x:v>carbohydrate_g</x:v>
      </x:c>
      <x:c r="B20" s="29" t="str">
        <x:v>number</x:v>
      </x:c>
      <x:c r="C20" s="29" t="str">
        <x:v>No</x:v>
      </x:c>
      <x:c r="D20" s="29" t="str">
        <x:v>g per basis</x:v>
      </x:c>
      <x:c r="E20" s="29" t="str">
        <x:v>15.74</x:v>
      </x:c>
    </x:row>
    <x:row r="21" ht="15" hidden="0" customHeight="1">
      <x:c r="A21" s="29" t="str">
        <x:v>fibre_g</x:v>
      </x:c>
      <x:c r="B21" s="29" t="str">
        <x:v>number</x:v>
      </x:c>
      <x:c r="C21" s="29" t="str">
        <x:v>No</x:v>
      </x:c>
      <x:c r="D21" s="29" t="str">
        <x:v>g per basis</x:v>
      </x:c>
      <x:c r="E21" s="29" t="str"/>
    </x:row>
    <x:row r="22" ht="15" hidden="0" customHeight="1">
      <x:c r="A22" s="29" t="str">
        <x:v>calcium_mg</x:v>
      </x:c>
      <x:c r="B22" s="29" t="str">
        <x:v>number</x:v>
      </x:c>
      <x:c r="C22" s="29" t="str">
        <x:v>No</x:v>
      </x:c>
      <x:c r="D22" s="29" t="str">
        <x:v>mg per basis</x:v>
      </x:c>
      <x:c r="E22" s="29" t="str"/>
    </x:row>
    <x:row r="23" ht="15" hidden="0" customHeight="1">
      <x:c r="A23" s="29" t="str">
        <x:v>iron_mg</x:v>
      </x:c>
      <x:c r="B23" s="29" t="str">
        <x:v>number</x:v>
      </x:c>
      <x:c r="C23" s="29" t="str">
        <x:v>No</x:v>
      </x:c>
      <x:c r="D23" s="29" t="str">
        <x:v>mg per basis</x:v>
      </x:c>
      <x:c r="E23" s="29" t="str"/>
    </x:row>
    <x:row r="24" ht="15" hidden="0" customHeight="1">
      <x:c r="A24" s="29" t="str">
        <x:v>magnesium_mg</x:v>
      </x:c>
      <x:c r="B24" s="29" t="str">
        <x:v>number</x:v>
      </x:c>
      <x:c r="C24" s="29" t="str">
        <x:v>No</x:v>
      </x:c>
      <x:c r="D24" s="29" t="str">
        <x:v>mg per basis</x:v>
      </x:c>
      <x:c r="E24" s="29" t="str"/>
    </x:row>
    <x:row r="25" ht="15" hidden="0" customHeight="1">
      <x:c r="A25" s="29" t="str">
        <x:v>phosphorus_mg</x:v>
      </x:c>
      <x:c r="B25" s="29" t="str">
        <x:v>number</x:v>
      </x:c>
      <x:c r="C25" s="29" t="str">
        <x:v>No</x:v>
      </x:c>
      <x:c r="D25" s="29" t="str">
        <x:v>mg per basis</x:v>
      </x:c>
      <x:c r="E25" s="29" t="str"/>
    </x:row>
    <x:row r="26" ht="15" hidden="0" customHeight="1">
      <x:c r="A26" s="29" t="str">
        <x:v>potassium_mg</x:v>
      </x:c>
      <x:c r="B26" s="29" t="str">
        <x:v>number</x:v>
      </x:c>
      <x:c r="C26" s="29" t="str">
        <x:v>No</x:v>
      </x:c>
      <x:c r="D26" s="29" t="str">
        <x:v>mg per basis</x:v>
      </x:c>
      <x:c r="E26" s="29" t="str"/>
    </x:row>
    <x:row r="27" ht="15" hidden="0" customHeight="1">
      <x:c r="A27" s="29" t="str">
        <x:v>sodium_mg</x:v>
      </x:c>
      <x:c r="B27" s="29" t="str">
        <x:v>number</x:v>
      </x:c>
      <x:c r="C27" s="29" t="str">
        <x:v>No</x:v>
      </x:c>
      <x:c r="D27" s="29" t="str">
        <x:v>mg per basis</x:v>
      </x:c>
      <x:c r="E27" s="29" t="str"/>
    </x:row>
    <x:row r="28" ht="15" hidden="0" customHeight="1">
      <x:c r="A28" s="29" t="str">
        <x:v>zinc_mg</x:v>
      </x:c>
      <x:c r="B28" s="29" t="str">
        <x:v>number</x:v>
      </x:c>
      <x:c r="C28" s="29" t="str">
        <x:v>No</x:v>
      </x:c>
      <x:c r="D28" s="29" t="str">
        <x:v>mg per basis</x:v>
      </x:c>
      <x:c r="E28" s="29" t="str"/>
    </x:row>
    <x:row r="29" ht="15" hidden="0" customHeight="1">
      <x:c r="A29" s="29" t="str">
        <x:v>vitamin_a_rae_mcg</x:v>
      </x:c>
      <x:c r="B29" s="29" t="str">
        <x:v>number</x:v>
      </x:c>
      <x:c r="C29" s="29" t="str">
        <x:v>No</x:v>
      </x:c>
      <x:c r="D29" s="29" t="str">
        <x:v>mcg per basis</x:v>
      </x:c>
      <x:c r="E29" s="29" t="str"/>
    </x:row>
    <x:row r="30" ht="15" hidden="0" customHeight="1">
      <x:c r="A30" s="29" t="str">
        <x:v>folate_mcg</x:v>
      </x:c>
      <x:c r="B30" s="29" t="str">
        <x:v>number</x:v>
      </x:c>
      <x:c r="C30" s="29" t="str">
        <x:v>No</x:v>
      </x:c>
      <x:c r="D30" s="29" t="str">
        <x:v>mcg per basis</x:v>
      </x:c>
      <x:c r="E30" s="29" t="str"/>
    </x:row>
    <x:row r="31" ht="15" hidden="0" customHeight="1">
      <x:c r="A31" s="29" t="str">
        <x:v>vitamin_b12_mcg</x:v>
      </x:c>
      <x:c r="B31" s="29" t="str">
        <x:v>number</x:v>
      </x:c>
      <x:c r="C31" s="29" t="str">
        <x:v>No</x:v>
      </x:c>
      <x:c r="D31" s="29" t="str">
        <x:v>mcg per basis</x:v>
      </x:c>
      <x:c r="E31" s="29" t="str"/>
    </x:row>
    <x:row r="32" ht="15" hidden="0" customHeight="1">
      <x:c r="A32" s="29" t="str">
        <x:v>vitamin_c_mg</x:v>
      </x:c>
      <x:c r="B32" s="29" t="str">
        <x:v>number</x:v>
      </x:c>
      <x:c r="C32" s="29" t="str">
        <x:v>No</x:v>
      </x:c>
      <x:c r="D32" s="29" t="str">
        <x:v>mg per basis</x:v>
      </x:c>
      <x:c r="E32" s="29" t="str"/>
    </x:row>
    <x:row r="33" ht="15" hidden="0" customHeight="1">
      <x:c r="A33" s="29" t="str">
        <x:v>source_refs</x:v>
      </x:c>
      <x:c r="B33" s="29" t="str">
        <x:v>text</x:v>
      </x:c>
      <x:c r="C33" s="29" t="str">
        <x:v>Yes</x:v>
      </x:c>
      <x:c r="D33" s="29" t="str">
        <x:v>Original source reference code(s)</x:v>
      </x:c>
      <x:c r="E33" s="29" t="str">
        <x:v>033,035</x:v>
      </x:c>
    </x:row>
    <x:row r="34" ht="15" hidden="0" customHeight="1">
      <x:c r="A34" s="29" t="str">
        <x:v>value_status</x:v>
      </x:c>
      <x:c r="B34" s="29" t="str">
        <x:v>text</x:v>
      </x:c>
      <x:c r="C34" s="29" t="str">
        <x:v>Yes</x:v>
      </x:c>
      <x:c r="D34" s="29" t="str">
        <x:v>Published/trace/missing/calculated/borrowed/flagged</x:v>
      </x:c>
      <x:c r="E34" s="29" t="str">
        <x:v>Published</x:v>
      </x:c>
    </x:row>
    <x:row r="35" ht="15" hidden="0" customHeight="1">
      <x:c r="A35" s="29" t="str">
        <x:v>data_quality_flag</x:v>
      </x:c>
      <x:c r="B35" s="29" t="str">
        <x:v>text</x:v>
      </x:c>
      <x:c r="C35" s="29" t="str">
        <x:v>Yes</x:v>
      </x:c>
      <x:c r="D35" s="29" t="str">
        <x:v>QA state</x:v>
      </x:c>
      <x:c r="E35" s="29" t="str">
        <x:v>Source-transcribed</x:v>
      </x:c>
    </x:row>
    <x:row r="36" ht="15" hidden="0" customHeight="1">
      <x:c r="A36" s="29" t="str">
        <x:v>source_title</x:v>
      </x:c>
      <x:c r="B36" s="29" t="str">
        <x:v>text</x:v>
      </x:c>
      <x:c r="C36" s="29" t="str">
        <x:v>Yes</x:v>
      </x:c>
      <x:c r="D36" s="29" t="str">
        <x:v>Source dataset title</x:v>
      </x:c>
      <x:c r="E36" s="29" t="str">
        <x:v>Nigeria Food Composition Table</x:v>
      </x:c>
    </x:row>
    <x:row r="37" ht="15" hidden="0" customHeight="1">
      <x:c r="A37" s="29" t="str">
        <x:v>source_year</x:v>
      </x:c>
      <x:c r="B37" s="29" t="str">
        <x:v>number</x:v>
      </x:c>
      <x:c r="C37" s="29" t="str">
        <x:v>Yes</x:v>
      </x:c>
      <x:c r="D37" s="29" t="str">
        <x:v>Publication year</x:v>
      </x:c>
      <x:c r="E37" s="29" t="str">
        <x:v>2016</x:v>
      </x:c>
    </x:row>
    <x:row r="38" ht="15" hidden="0" customHeight="1">
      <x:c r="A38" s="29" t="str">
        <x:v>source_url_or_file</x:v>
      </x:c>
      <x:c r="B38" s="29" t="str">
        <x:v>text</x:v>
      </x:c>
      <x:c r="C38" s="29" t="str">
        <x:v>Yes</x:v>
      </x:c>
      <x:c r="D38" s="29" t="str">
        <x:v>Traceable source location</x:v>
      </x:c>
      <x:c r="E38" s="29" t="str">
        <x:v>Nigeria Food Composition Table.pdf</x:v>
      </x:c>
    </x:row>
    <x:row r="39" ht="15" hidden="0" customHeight="1">
      <x:c r="A39" s="29" t="str">
        <x:v>notes</x:v>
      </x:c>
      <x:c r="B39" s="29" t="str">
        <x:v>text</x:v>
      </x:c>
      <x:c r="C39" s="29" t="str">
        <x:v>No</x:v>
      </x:c>
      <x:c r="D39" s="29" t="str">
        <x:v>Method/data caveats</x:v>
      </x:c>
      <x:c r="E39" s="2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12.5" hidden="0" customWidth="1"/>
    <x:col min="3" max="3" width="13.7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8.130000114440918" hidden="0" customWidth="1"/>
    <x:col min="10" max="10" width="11.25" hidden="0" customWidth="1"/>
    <x:col min="11" max="11" width="9.75" hidden="0" customWidth="1"/>
    <x:col min="12" max="12" width="6.630000114440918" hidden="0" customWidth="1"/>
    <x:col min="13" max="13" width="13.880000114440918" hidden="0" customWidth="1"/>
    <x:col min="14" max="14" width="7.880000114440918" hidden="0" customWidth="1"/>
    <x:col min="15" max="15" width="24" hidden="0" customWidth="1"/>
    <x:col min="16" max="16" width="11.75" hidden="0" customWidth="1"/>
    <x:col min="17" max="17" width="24" hidden="0" customWidth="1"/>
    <x:col min="18" max="18" width="24" hidden="0" customWidth="1"/>
    <x:col min="19" max="19" width="11.5" hidden="0" customWidth="1"/>
    <x:col min="20" max="20" width="24" hidden="0" customWidth="1"/>
  </x:cols>
  <x:sheetData>
    <x:row r="1" ht="15" hidden="0" customHeight="1">
      <x:c r="A1" s="44" t="str">
        <x:v>pikabora_food_id</x:v>
      </x:c>
      <x:c r="B1" s="44" t="str">
        <x:v>country_code</x:v>
      </x:c>
      <x:c r="C1" s="44" t="str">
        <x:v>source_food_id</x:v>
      </x:c>
      <x:c r="D1" s="44" t="str">
        <x:v>source_food_name</x:v>
      </x:c>
      <x:c r="E1" s="44" t="str">
        <x:v>canonical_name</x:v>
      </x:c>
      <x:c r="F1" s="44" t="str">
        <x:v>food_group</x:v>
      </x:c>
      <x:c r="G1" s="44" t="str">
        <x:v>preparation_state</x:v>
      </x:c>
      <x:c r="H1" s="44" t="str">
        <x:v>recipe_or_ingredient</x:v>
      </x:c>
      <x:c r="I1" s="44" t="str">
        <x:v>basis_g</x:v>
      </x:c>
      <x:c r="J1" s="44" t="str">
        <x:v>energy_kcal</x:v>
      </x:c>
      <x:c r="K1" s="44" t="str">
        <x:v>protein_g</x:v>
      </x:c>
      <x:c r="L1" s="44" t="str">
        <x:v>fat_g</x:v>
      </x:c>
      <x:c r="M1" s="44" t="str">
        <x:v>carbohydrate_g</x:v>
      </x:c>
      <x:c r="N1" s="44" t="str">
        <x:v>fibre_g</x:v>
      </x:c>
      <x:c r="O1" s="44" t="str">
        <x:v>source_refs</x:v>
      </x:c>
      <x:c r="P1" s="44" t="str">
        <x:v>value_status</x:v>
      </x:c>
      <x:c r="Q1" s="44" t="str">
        <x:v>data_quality_flag</x:v>
      </x:c>
      <x:c r="R1" s="44" t="str">
        <x:v>source_title</x:v>
      </x:c>
      <x:c r="S1" s="44" t="str">
        <x:v>source_year</x:v>
      </x:c>
      <x:c r="T1" s="44" t="str">
        <x:v>source_url_or_file</x:v>
      </x:c>
      <x:c r="U1" s="42"/>
      <x:c r="V1" s="42"/>
      <x:c r="W1" s="42"/>
      <x:c r="X1" s="42"/>
      <x:c r="Y1" s="42"/>
      <x:c r="Z1" s="42"/>
    </x:row>
    <x:row r="2" ht="15" hidden="0" customHeight="1">
      <x:c r="A2" s="29" t="str">
        <x:v>NG-01-02-03</x:v>
      </x:c>
      <x:c r="B2" s="29" t="str">
        <x:v>NG</x:v>
      </x:c>
      <x:c r="C2" s="29" t="str">
        <x:v>01_02_03</x:v>
      </x:c>
      <x:c r="D2" s="29" t="str">
        <x:v>Ogi (Yoruba)</x:v>
      </x:c>
      <x:c r="E2" s="29" t="str">
        <x:v>Maize fermented gruel</x:v>
      </x:c>
      <x:c r="F2" s="29" t="str">
        <x:v>Cereals</x:v>
      </x:c>
      <x:c r="G2" s="29" t="str">
        <x:v>Fermented gruel</x:v>
      </x:c>
      <x:c r="H2" s="29" t="str">
        <x:v>Prepared food</x:v>
      </x:c>
      <x:c r="I2" s="29" t="n">
        <x:v>100</x:v>
      </x:c>
      <x:c r="J2" s="29" t="n">
        <x:v>49.01</x:v>
      </x:c>
      <x:c r="K2" s="29" t="n">
        <x:v>1.04</x:v>
      </x:c>
      <x:c r="L2" s="29" t="n">
        <x:v>0.06</x:v>
      </x:c>
      <x:c r="M2" s="29" t="n">
        <x:v>10.82</x:v>
      </x:c>
      <x:c r="N2" s="29" t="n">
        <x:v>0.5</x:v>
      </x:c>
      <x:c r="O2" s="29" t="str">
        <x:v>033,035,002,097</x:v>
      </x:c>
      <x:c r="P2" s="29" t="str">
        <x:v>Published</x:v>
      </x:c>
      <x:c r="Q2" s="29" t="str">
        <x:v>Source-transcribed</x:v>
      </x:c>
      <x:c r="R2" s="29" t="str">
        <x:v>Nigeria Food Composition Table</x:v>
      </x:c>
      <x:c r="S2" s="29" t="n">
        <x:v>2016</x:v>
      </x:c>
      <x:c r="T2" s="29" t="str">
        <x:v>Nigeria Food Composition Table.pdf</x:v>
      </x:c>
      <x:c r="U2" s="14"/>
      <x:c r="V2" s="14"/>
      <x:c r="W2" s="14"/>
      <x:c r="X2" s="14"/>
      <x:c r="Y2" s="14"/>
      <x:c r="Z2" s="14"/>
    </x:row>
    <x:row r="3" ht="15" hidden="0" customHeight="1">
      <x:c r="A3" s="29" t="str">
        <x:v>NG-01-04-04</x:v>
      </x:c>
      <x:c r="B3" s="29" t="str">
        <x:v>NG</x:v>
      </x:c>
      <x:c r="C3" s="29" t="str">
        <x:v>01_04_04</x:v>
      </x:c>
      <x:c r="D3" s="29" t="str">
        <x:v>Tuwo Shinkafa (Hausa)</x:v>
      </x:c>
      <x:c r="E3" s="29" t="str">
        <x:v>Rice cooked paste</x:v>
      </x:c>
      <x:c r="F3" s="29" t="str">
        <x:v>Cereals</x:v>
      </x:c>
      <x:c r="G3" s="29" t="str">
        <x:v>Cooked paste</x:v>
      </x:c>
      <x:c r="H3" s="29" t="str">
        <x:v>Prepared food</x:v>
      </x:c>
      <x:c r="I3" s="29" t="n">
        <x:v>100</x:v>
      </x:c>
      <x:c r="J3" s="29" t="n">
        <x:v>89.86</x:v>
      </x:c>
      <x:c r="K3" s="29" t="n">
        <x:v>1.96</x:v>
      </x:c>
      <x:c r="L3" s="29" t="n">
        <x:v>0.44</x:v>
      </x:c>
      <x:c r="M3" s="29" t="n">
        <x:v>19.53</x:v>
      </x:c>
      <x:c r="N3" s="29" t="n">
        <x:v>0</x:v>
      </x:c>
      <x:c r="O3" s="29" t="str">
        <x:v>097,033,035</x:v>
      </x:c>
      <x:c r="P3" s="29" t="str">
        <x:v>Published</x:v>
      </x:c>
      <x:c r="Q3" s="29" t="str">
        <x:v>Source-transcribed</x:v>
      </x:c>
      <x:c r="R3" s="29" t="str">
        <x:v>Nigeria Food Composition Table</x:v>
      </x:c>
      <x:c r="S3" s="29" t="n">
        <x:v>2016</x:v>
      </x:c>
      <x:c r="T3" s="29" t="str">
        <x:v>Nigeria Food Composition Table.pdf</x:v>
      </x:c>
      <x:c r="U3" s="14"/>
      <x:c r="V3" s="14"/>
      <x:c r="W3" s="14"/>
      <x:c r="X3" s="14"/>
      <x:c r="Y3" s="14"/>
      <x:c r="Z3" s="14"/>
    </x:row>
    <x:row r="4" ht="15" hidden="0" customHeight="1">
      <x:c r="A4" s="29" t="str">
        <x:v>NG-01-04-08</x:v>
      </x:c>
      <x:c r="B4" s="29" t="str">
        <x:v>NG</x:v>
      </x:c>
      <x:c r="C4" s="29" t="str">
        <x:v>01_04_08</x:v>
      </x:c>
      <x:c r="D4" s="29" t="str">
        <x:v>Jollof rice</x:v>
      </x:c>
      <x:c r="E4" s="29" t="str">
        <x:v>Rice with tomato, onion, spices and vegetable oil</x:v>
      </x:c>
      <x:c r="F4" s="29" t="str">
        <x:v>Cereals</x:v>
      </x:c>
      <x:c r="G4" s="29" t="str">
        <x:v>Cooked mixed dish</x:v>
      </x:c>
      <x:c r="H4" s="29" t="str">
        <x:v>Mixed dish</x:v>
      </x:c>
      <x:c r="I4" s="29" t="n">
        <x:v>100</x:v>
      </x:c>
      <x:c r="J4" s="29" t="n">
        <x:v>144.55</x:v>
      </x:c>
      <x:c r="K4" s="29" t="n">
        <x:v>2.64</x:v>
      </x:c>
      <x:c r="L4" s="29" t="n">
        <x:v>2.67</x:v>
      </x:c>
      <x:c r="M4" s="29" t="n">
        <x:v>27.51</x:v>
      </x:c>
      <x:c r="N4" s="29" t="n">
        <x:v>1.39</x:v>
      </x:c>
      <x:c r="O4" s="29" t="str">
        <x:v>097,033,035</x:v>
      </x:c>
      <x:c r="P4" s="29" t="str">
        <x:v>Published</x:v>
      </x:c>
      <x:c r="Q4" s="29" t="str">
        <x:v>Source-transcribed</x:v>
      </x:c>
      <x:c r="R4" s="29" t="str">
        <x:v>Nigeria Food Composition Table</x:v>
      </x:c>
      <x:c r="S4" s="29" t="n">
        <x:v>2016</x:v>
      </x:c>
      <x:c r="T4" s="29" t="str">
        <x:v>Nigeria Food Composition Table.pdf</x:v>
      </x:c>
      <x:c r="U4" s="14"/>
      <x:c r="V4" s="14"/>
      <x:c r="W4" s="14"/>
      <x:c r="X4" s="14"/>
      <x:c r="Y4" s="14"/>
      <x:c r="Z4" s="14"/>
    </x:row>
    <x:row r="5" ht="15" hidden="0" customHeight="1">
      <x:c r="A5" s="29" t="str">
        <x:v>NG-01-04-09</x:v>
      </x:c>
      <x:c r="B5" s="29" t="str">
        <x:v>NG</x:v>
      </x:c>
      <x:c r="C5" s="29" t="str">
        <x:v>01_04_09</x:v>
      </x:c>
      <x:c r="D5" s="29" t="str">
        <x:v>Fried Rice</x:v>
      </x:c>
      <x:c r="E5" s="29" t="str">
        <x:v>Rice with carrot, onion, green peas and vegetable oil</x:v>
      </x:c>
      <x:c r="F5" s="29" t="str">
        <x:v>Cereals</x:v>
      </x:c>
      <x:c r="G5" s="29" t="str">
        <x:v>Cooked mixed dish</x:v>
      </x:c>
      <x:c r="H5" s="29" t="str">
        <x:v>Mixed dish</x:v>
      </x:c>
      <x:c r="I5" s="29" t="n">
        <x:v>100</x:v>
      </x:c>
      <x:c r="J5" s="29" t="n">
        <x:v>172.88</x:v>
      </x:c>
      <x:c r="K5" s="29" t="n">
        <x:v>2.56</x:v>
      </x:c>
      <x:c r="L5" s="29" t="n">
        <x:v>3.36</x:v>
      </x:c>
      <x:c r="M5" s="29" t="n">
        <x:v>32.55</x:v>
      </x:c>
      <x:c r="N5" s="29" t="n">
        <x:v>1.1</x:v>
      </x:c>
      <x:c r="O5" s="29" t="str">
        <x:v>001,033,035</x:v>
      </x:c>
      <x:c r="P5" s="29" t="str">
        <x:v>Published</x:v>
      </x:c>
      <x:c r="Q5" s="29" t="str">
        <x:v>Source-transcribed</x:v>
      </x:c>
      <x:c r="R5" s="29" t="str">
        <x:v>Nigeria Food Composition Table</x:v>
      </x:c>
      <x:c r="S5" s="29" t="n">
        <x:v>2016</x:v>
      </x:c>
      <x:c r="T5" s="29" t="str">
        <x:v>Nigeria Food Composition Table.pdf</x:v>
      </x:c>
      <x:c r="U5" s="14"/>
      <x:c r="V5" s="14"/>
      <x:c r="W5" s="14"/>
      <x:c r="X5" s="14"/>
      <x:c r="Y5" s="14"/>
      <x:c r="Z5" s="14"/>
    </x:row>
    <x:row r="6" ht="15" hidden="0" customHeight="1">
      <x:c r="A6" s="29" t="str">
        <x:v>NG-02-03-02</x:v>
      </x:c>
      <x:c r="B6" s="29" t="str">
        <x:v>NG</x:v>
      </x:c>
      <x:c r="C6" s="29" t="str">
        <x:v>02_03_02</x:v>
      </x:c>
      <x:c r="D6" s="29" t="str">
        <x:v>Garri</x:v>
      </x:c>
      <x:c r="E6" s="29" t="str">
        <x:v>Cassava, fermented, dewatered and fried</x:v>
      </x:c>
      <x:c r="F6" s="29" t="str">
        <x:v>Roots &amp; tubers</x:v>
      </x:c>
      <x:c r="G6" s="29" t="str">
        <x:v>Fermented/fried</x:v>
      </x:c>
      <x:c r="H6" s="29" t="str">
        <x:v>Prepared food</x:v>
      </x:c>
      <x:c r="I6" s="29" t="n">
        <x:v>100</x:v>
      </x:c>
      <x:c r="J6" s="29" t="n">
        <x:v>363.19</x:v>
      </x:c>
      <x:c r="K6" s="29" t="n">
        <x:v>1.6</x:v>
      </x:c>
      <x:c r="L6" s="29" t="n">
        <x:v>0.72</x:v>
      </x:c>
      <x:c r="M6" s="29" t="n">
        <x:v>86.89</x:v>
      </x:c>
      <x:c r="N6" s="29" t="n">
        <x:v>1.37</x:v>
      </x:c>
      <x:c r="O6" s="29" t="str">
        <x:v>085,050,010,195</x:v>
      </x:c>
      <x:c r="P6" s="29" t="str">
        <x:v>Published</x:v>
      </x:c>
      <x:c r="Q6" s="29" t="str">
        <x:v>Source-transcribed</x:v>
      </x:c>
      <x:c r="R6" s="29" t="str">
        <x:v>Nigeria Food Composition Table</x:v>
      </x:c>
      <x:c r="S6" s="29" t="n">
        <x:v>2016</x:v>
      </x:c>
      <x:c r="T6" s="29" t="str">
        <x:v>Nigeria Food Composition Table.pdf</x:v>
      </x:c>
      <x:c r="U6" s="14"/>
      <x:c r="V6" s="14"/>
      <x:c r="W6" s="14"/>
      <x:c r="X6" s="14"/>
      <x:c r="Y6" s="14"/>
      <x:c r="Z6" s="14"/>
    </x:row>
    <x:row r="7" ht="15" hidden="0" customHeight="1">
      <x:c r="A7" s="29" t="str">
        <x:v>NG-02-03-06</x:v>
      </x:c>
      <x:c r="B7" s="29" t="str">
        <x:v>NG</x:v>
      </x:c>
      <x:c r="C7" s="29" t="str">
        <x:v>02_03_06</x:v>
      </x:c>
      <x:c r="D7" s="29" t="str">
        <x:v>Eba (Yoruba)</x:v>
      </x:c>
      <x:c r="E7" s="29" t="str">
        <x:v>Cassava fermented product cooked into paste</x:v>
      </x:c>
      <x:c r="F7" s="29" t="str">
        <x:v>Roots &amp; tubers</x:v>
      </x:c>
      <x:c r="G7" s="29" t="str">
        <x:v>Cooked paste</x:v>
      </x:c>
      <x:c r="H7" s="29" t="str">
        <x:v>Prepared food</x:v>
      </x:c>
      <x:c r="I7" s="29" t="n">
        <x:v>100</x:v>
      </x:c>
      <x:c r="J7" s="29" t="n">
        <x:v>98.74</x:v>
      </x:c>
      <x:c r="K7" s="29" t="n">
        <x:v>0.68</x:v>
      </x:c>
      <x:c r="L7" s="29" t="n">
        <x:v>0.1</x:v>
      </x:c>
      <x:c r="M7" s="29" t="n">
        <x:v>22.94</x:v>
      </x:c>
      <x:c r="N7" s="29" t="n">
        <x:v>1.7</x:v>
      </x:c>
      <x:c r="O7" s="29" t="str">
        <x:v>050,033,035,059,097</x:v>
      </x:c>
      <x:c r="P7" s="29" t="str">
        <x:v>Published</x:v>
      </x:c>
      <x:c r="Q7" s="29" t="str">
        <x:v>Source-transcribed</x:v>
      </x:c>
      <x:c r="R7" s="29" t="str">
        <x:v>Nigeria Food Composition Table</x:v>
      </x:c>
      <x:c r="S7" s="29" t="n">
        <x:v>2016</x:v>
      </x:c>
      <x:c r="T7" s="29" t="str">
        <x:v>Nigeria Food Composition Table.pdf</x:v>
      </x:c>
      <x:c r="U7" s="14"/>
      <x:c r="V7" s="14"/>
      <x:c r="W7" s="14"/>
      <x:c r="X7" s="14"/>
      <x:c r="Y7" s="14"/>
      <x:c r="Z7" s="14"/>
    </x:row>
    <x:row r="8" ht="15" hidden="0" customHeight="1">
      <x:c r="A8" s="29" t="str">
        <x:v>NG-02-03-03</x:v>
      </x:c>
      <x:c r="B8" s="29" t="str">
        <x:v>NG</x:v>
      </x:c>
      <x:c r="C8" s="29" t="str">
        <x:v>02_03_03</x:v>
      </x:c>
      <x:c r="D8" s="29" t="str">
        <x:v>Fufu</x:v>
      </x:c>
      <x:c r="E8" s="29" t="str">
        <x:v>Cassava fermented, sieved and cooked</x:v>
      </x:c>
      <x:c r="F8" s="29" t="str">
        <x:v>Roots &amp; tubers</x:v>
      </x:c>
      <x:c r="G8" s="29" t="str">
        <x:v>Fermented/cooked</x:v>
      </x:c>
      <x:c r="H8" s="29" t="str">
        <x:v>Prepared food</x:v>
      </x:c>
      <x:c r="I8" s="29" t="n">
        <x:v>100</x:v>
      </x:c>
      <x:c r="J8" s="29" t="n">
        <x:v>142.45</x:v>
      </x:c>
      <x:c r="K8" s="29" t="n">
        <x:v>0.52</x:v>
      </x:c>
      <x:c r="L8" s="29" t="n">
        <x:v>0.08</x:v>
      </x:c>
      <x:c r="M8" s="29" t="n">
        <x:v>34.74</x:v>
      </x:c>
      <x:c r="N8" s="29" t="n">
        <x:v>0.36</x:v>
      </x:c>
      <x:c r="O8" s="29" t="str">
        <x:v>034,033,035,097,085,059</x:v>
      </x:c>
      <x:c r="P8" s="29" t="str">
        <x:v>Published</x:v>
      </x:c>
      <x:c r="Q8" s="29" t="str">
        <x:v>Source-transcribed</x:v>
      </x:c>
      <x:c r="R8" s="29" t="str">
        <x:v>Nigeria Food Composition Table</x:v>
      </x:c>
      <x:c r="S8" s="29" t="n">
        <x:v>2016</x:v>
      </x:c>
      <x:c r="T8" s="29" t="str">
        <x:v>Nigeria Food Composition Table.pdf</x:v>
      </x:c>
      <x:c r="U8" s="14"/>
      <x:c r="V8" s="14"/>
      <x:c r="W8" s="14"/>
      <x:c r="X8" s="14"/>
      <x:c r="Y8" s="14"/>
      <x:c r="Z8" s="14"/>
    </x:row>
    <x:row r="9" ht="15" hidden="0" customHeight="1">
      <x:c r="A9" s="29" t="str">
        <x:v>NG-02-07-09</x:v>
      </x:c>
      <x:c r="B9" s="29" t="str">
        <x:v>NG</x:v>
      </x:c>
      <x:c r="C9" s="29" t="str">
        <x:v>02_07_09</x:v>
      </x:c>
      <x:c r="D9" s="29" t="str">
        <x:v>Yam, peeled, boiled</x:v>
      </x:c>
      <x:c r="E9" s="29" t="str">
        <x:v>White yam, boiled</x:v>
      </x:c>
      <x:c r="F9" s="29" t="str">
        <x:v>Roots &amp; tubers</x:v>
      </x:c>
      <x:c r="G9" s="29" t="str">
        <x:v>Boiled</x:v>
      </x:c>
      <x:c r="H9" s="29" t="str">
        <x:v>Ingredient</x:v>
      </x:c>
      <x:c r="I9" s="29" t="n">
        <x:v>100</x:v>
      </x:c>
      <x:c r="J9" s="29" t="n">
        <x:v>120.32</x:v>
      </x:c>
      <x:c r="K9" s="29" t="n">
        <x:v>1.94</x:v>
      </x:c>
      <x:c r="L9" s="29" t="n">
        <x:v>0.12</x:v>
      </x:c>
      <x:c r="M9" s="29" t="n">
        <x:v>26.48</x:v>
      </x:c>
      <x:c r="N9" s="29" t="n">
        <x:v>2.8</x:v>
      </x:c>
      <x:c r="O9" s="29" t="str">
        <x:v>009,033,035,097,002</x:v>
      </x:c>
      <x:c r="P9" s="29" t="str">
        <x:v>Published</x:v>
      </x:c>
      <x:c r="Q9" s="29" t="str">
        <x:v>Source-transcribed</x:v>
      </x:c>
      <x:c r="R9" s="29" t="str">
        <x:v>Nigeria Food Composition Table</x:v>
      </x:c>
      <x:c r="S9" s="29" t="n">
        <x:v>2016</x:v>
      </x:c>
      <x:c r="T9" s="29" t="str">
        <x:v>Nigeria Food Composition Table.pdf</x:v>
      </x:c>
      <x:c r="U9" s="14"/>
      <x:c r="V9" s="14"/>
      <x:c r="W9" s="14"/>
      <x:c r="X9" s="14"/>
      <x:c r="Y9" s="14"/>
      <x:c r="Z9" s="14"/>
    </x:row>
    <x:row r="10" ht="15" hidden="0" customHeight="1">
      <x:c r="A10" s="29" t="str">
        <x:v>NG-02-07-13</x:v>
      </x:c>
      <x:c r="B10" s="29" t="str">
        <x:v>NG</x:v>
      </x:c>
      <x:c r="C10" s="29" t="str">
        <x:v>02_07_13</x:v>
      </x:c>
      <x:c r="D10" s="29" t="str">
        <x:v>Iyan (Yoruba)</x:v>
      </x:c>
      <x:c r="E10" s="29" t="str">
        <x:v>Pounded yam</x:v>
      </x:c>
      <x:c r="F10" s="29" t="str">
        <x:v>Roots &amp; tubers</x:v>
      </x:c>
      <x:c r="G10" s="29" t="str">
        <x:v>Boiled/pounded</x:v>
      </x:c>
      <x:c r="H10" s="29" t="str">
        <x:v>Prepared food</x:v>
      </x:c>
      <x:c r="I10" s="29" t="n">
        <x:v>100</x:v>
      </x:c>
      <x:c r="J10" s="29" t="n">
        <x:v>108.95</x:v>
      </x:c>
      <x:c r="K10" s="29" t="n">
        <x:v>1.03</x:v>
      </x:c>
      <x:c r="L10" s="29" t="n">
        <x:v>1.42</x:v>
      </x:c>
      <x:c r="M10" s="29" t="n">
        <x:v>22.21</x:v>
      </x:c>
      <x:c r="N10" s="29" t="n">
        <x:v>1.6</x:v>
      </x:c>
      <x:c r="O10" s="29" t="str">
        <x:v>009,033,035,097</x:v>
      </x:c>
      <x:c r="P10" s="29" t="str">
        <x:v>Published</x:v>
      </x:c>
      <x:c r="Q10" s="29" t="str">
        <x:v>Source-transcribed</x:v>
      </x:c>
      <x:c r="R10" s="29" t="str">
        <x:v>Nigeria Food Composition Table</x:v>
      </x:c>
      <x:c r="S10" s="29" t="n">
        <x:v>2016</x:v>
      </x:c>
      <x:c r="T10" s="29" t="str">
        <x:v>Nigeria Food Composition Table.pdf</x:v>
      </x:c>
      <x:c r="U10" s="14"/>
      <x:c r="V10" s="14"/>
      <x:c r="W10" s="14"/>
      <x:c r="X10" s="14"/>
      <x:c r="Y10" s="14"/>
      <x:c r="Z10" s="14"/>
    </x:row>
    <x:row r="11" ht="15" hidden="0" customHeight="1">
      <x:c r="A11" s="29" t="str">
        <x:v>NG-02-07-15</x:v>
      </x:c>
      <x:c r="B11" s="29" t="str">
        <x:v>NG</x:v>
      </x:c>
      <x:c r="C11" s="29" t="str">
        <x:v>02_07_15</x:v>
      </x:c>
      <x:c r="D11" s="29" t="str">
        <x:v>Amala dudu (Yoruba)</x:v>
      </x:c>
      <x:c r="E11" s="29" t="str">
        <x:v>Yam flour cooked into paste</x:v>
      </x:c>
      <x:c r="F11" s="29" t="str">
        <x:v>Roots &amp; tubers</x:v>
      </x:c>
      <x:c r="G11" s="29" t="str">
        <x:v>Dried/milled/cooked</x:v>
      </x:c>
      <x:c r="H11" s="29" t="str">
        <x:v>Prepared food</x:v>
      </x:c>
      <x:c r="I11" s="29" t="n">
        <x:v>100</x:v>
      </x:c>
      <x:c r="J11" s="29" t="n">
        <x:v>89.4</x:v>
      </x:c>
      <x:c r="K11" s="29" t="n">
        <x:v>0.3</x:v>
      </x:c>
      <x:c r="L11" s="29" t="n">
        <x:v>0.12</x:v>
      </x:c>
      <x:c r="M11" s="29" t="n">
        <x:v>20.53</x:v>
      </x:c>
      <x:c r="N11" s="29" t="n">
        <x:v>2.5</x:v>
      </x:c>
      <x:c r="O11" s="29" t="str">
        <x:v>009,033,035</x:v>
      </x:c>
      <x:c r="P11" s="29" t="str">
        <x:v>Published</x:v>
      </x:c>
      <x:c r="Q11" s="29" t="str">
        <x:v>Source-transcribed</x:v>
      </x:c>
      <x:c r="R11" s="29" t="str">
        <x:v>Nigeria Food Composition Table</x:v>
      </x:c>
      <x:c r="S11" s="29" t="n">
        <x:v>2016</x:v>
      </x:c>
      <x:c r="T11" s="29" t="str">
        <x:v>Nigeria Food Composition Table.pdf</x:v>
      </x:c>
      <x:c r="U11" s="14"/>
      <x:c r="V11" s="14"/>
      <x:c r="W11" s="14"/>
      <x:c r="X11" s="14"/>
      <x:c r="Y11" s="14"/>
      <x:c r="Z11" s="14"/>
    </x:row>
    <x:row r="12" ht="15" hidden="0" customHeight="1">
      <x:c r="A12" s="29" t="str">
        <x:v>NG-03-02-03</x:v>
      </x:c>
      <x:c r="B12" s="29" t="str">
        <x:v>NG</x:v>
      </x:c>
      <x:c r="C12" s="29" t="str">
        <x:v>03_02_03</x:v>
      </x:c>
      <x:c r="D12" s="29" t="str">
        <x:v>Bean, whole, boiled, with salt</x:v>
      </x:c>
      <x:c r="E12" s="29" t="str">
        <x:v>Bean/cowpea, boiled</x:v>
      </x:c>
      <x:c r="F12" s="29" t="str">
        <x:v>Legumes</x:v>
      </x:c>
      <x:c r="G12" s="29" t="str">
        <x:v>Boiled</x:v>
      </x:c>
      <x:c r="H12" s="29" t="str">
        <x:v>Ingredient</x:v>
      </x:c>
      <x:c r="I12" s="29" t="n">
        <x:v>100</x:v>
      </x:c>
      <x:c r="J12" s="29" t="n">
        <x:v>147.56</x:v>
      </x:c>
      <x:c r="K12" s="29" t="n">
        <x:v>11.61</x:v>
      </x:c>
      <x:c r="L12" s="29" t="n">
        <x:v>0.5</x:v>
      </x:c>
      <x:c r="M12" s="29" t="n">
        <x:v>21.52</x:v>
      </x:c>
      <x:c r="N12" s="29" t="n">
        <x:v>5.3</x:v>
      </x:c>
      <x:c r="O12" s="29" t="str">
        <x:v>002,033,035,124</x:v>
      </x:c>
      <x:c r="P12" s="29" t="str">
        <x:v>Published</x:v>
      </x:c>
      <x:c r="Q12" s="29" t="str">
        <x:v>Source-transcribed</x:v>
      </x:c>
      <x:c r="R12" s="29" t="str">
        <x:v>Nigeria Food Composition Table</x:v>
      </x:c>
      <x:c r="S12" s="29" t="n">
        <x:v>2016</x:v>
      </x:c>
      <x:c r="T12" s="29" t="str">
        <x:v>Nigeria Food Composition Table.pdf</x:v>
      </x:c>
      <x:c r="U12" s="14"/>
      <x:c r="V12" s="14"/>
      <x:c r="W12" s="14"/>
      <x:c r="X12" s="14"/>
      <x:c r="Y12" s="14"/>
      <x:c r="Z12" s="14"/>
    </x:row>
    <x:row r="13" ht="15" hidden="0" customHeight="1">
      <x:c r="A13" s="29" t="str">
        <x:v>NG-03-02-04</x:v>
      </x:c>
      <x:c r="B13" s="29" t="str">
        <x:v>NG</x:v>
      </x:c>
      <x:c r="C13" s="29" t="str">
        <x:v>03_02_04</x:v>
      </x:c>
      <x:c r="D13" s="29" t="str">
        <x:v>Beans porridge</x:v>
      </x:c>
      <x:c r="E13" s="29" t="str">
        <x:v>Bean porridge with oil</x:v>
      </x:c>
      <x:c r="F13" s="29" t="str">
        <x:v>Legumes</x:v>
      </x:c>
      <x:c r="G13" s="29" t="str">
        <x:v>Boiled with oil</x:v>
      </x:c>
      <x:c r="H13" s="29" t="str">
        <x:v>Mixed dish</x:v>
      </x:c>
      <x:c r="I13" s="29" t="n">
        <x:v>100</x:v>
      </x:c>
      <x:c r="J13" s="29" t="n">
        <x:v>166.89</x:v>
      </x:c>
      <x:c r="K13" s="29" t="n">
        <x:v>6.74</x:v>
      </x:c>
      <x:c r="L13" s="29" t="n">
        <x:v>5.49</x:v>
      </x:c>
      <x:c r="M13" s="29" t="n">
        <x:v>22.38</x:v>
      </x:c>
      <x:c r="N13" s="29" t="n">
        <x:v>0.5</x:v>
      </x:c>
      <x:c r="O13" s="29" t="str">
        <x:v>033,035,096</x:v>
      </x:c>
      <x:c r="P13" s="29" t="str">
        <x:v>Published</x:v>
      </x:c>
      <x:c r="Q13" s="29" t="str">
        <x:v>Source-transcribed</x:v>
      </x:c>
      <x:c r="R13" s="29" t="str">
        <x:v>Nigeria Food Composition Table</x:v>
      </x:c>
      <x:c r="S13" s="29" t="n">
        <x:v>2016</x:v>
      </x:c>
      <x:c r="T13" s="29" t="str">
        <x:v>Nigeria Food Composition Table.pdf</x:v>
      </x:c>
      <x:c r="U13" s="14"/>
      <x:c r="V13" s="14"/>
      <x:c r="W13" s="14"/>
      <x:c r="X13" s="14"/>
      <x:c r="Y13" s="14"/>
      <x:c r="Z13" s="14"/>
    </x:row>
    <x:row r="14" ht="15" hidden="0" customHeight="1">
      <x:c r="A14" s="29" t="str">
        <x:v>NG-03-02-05</x:v>
      </x:c>
      <x:c r="B14" s="29" t="str">
        <x:v>NG</x:v>
      </x:c>
      <x:c r="C14" s="29" t="str">
        <x:v>03_02_05</x:v>
      </x:c>
      <x:c r="D14" s="29" t="str">
        <x:v>Bean cake / Akara elepo (Yoruba)</x:v>
      </x:c>
      <x:c r="E14" s="29" t="str">
        <x:v>Bean cake fried in palm oil</x:v>
      </x:c>
      <x:c r="F14" s="29" t="str">
        <x:v>Legumes</x:v>
      </x:c>
      <x:c r="G14" s="29" t="str">
        <x:v>Fried</x:v>
      </x:c>
      <x:c r="H14" s="29" t="str">
        <x:v>Prepared food</x:v>
      </x:c>
      <x:c r="I14" s="29" t="n">
        <x:v>100</x:v>
      </x:c>
      <x:c r="J14" s="29" t="n">
        <x:v>275.29</x:v>
      </x:c>
      <x:c r="K14" s="29" t="n">
        <x:v>13.07</x:v>
      </x:c>
      <x:c r="L14" s="29" t="n">
        <x:v>13.46</x:v>
      </x:c>
      <x:c r="M14" s="29" t="n">
        <x:v>25.48</x:v>
      </x:c>
      <x:c r="N14" s="29"/>
      <x:c r="O14" s="29" t="str">
        <x:v>033,035,096,055</x:v>
      </x:c>
      <x:c r="P14" s="29" t="str">
        <x:v>Published</x:v>
      </x:c>
      <x:c r="Q14" s="29" t="str">
        <x:v>Source-transcribed</x:v>
      </x:c>
      <x:c r="R14" s="29" t="str">
        <x:v>Nigeria Food Composition Table</x:v>
      </x:c>
      <x:c r="S14" s="29" t="n">
        <x:v>2016</x:v>
      </x:c>
      <x:c r="T14" s="29" t="str">
        <x:v>Nigeria Food Composition Table.pdf</x:v>
      </x:c>
      <x:c r="U14" s="14"/>
      <x:c r="V14" s="14"/>
      <x:c r="W14" s="14"/>
      <x:c r="X14" s="14"/>
      <x:c r="Y14" s="14"/>
      <x:c r="Z14" s="14"/>
    </x:row>
    <x:row r="15" ht="15" hidden="0" customHeight="1">
      <x:c r="A15" s="29" t="str">
        <x:v>NG-03-02-09</x:v>
      </x:c>
      <x:c r="B15" s="29" t="str">
        <x:v>NG</x:v>
      </x:c>
      <x:c r="C15" s="29" t="str">
        <x:v>03_02_09</x:v>
      </x:c>
      <x:c r="D15" s="29" t="str">
        <x:v>Moin-Moin</x:v>
      </x:c>
      <x:c r="E15" s="29" t="str">
        <x:v>Steamed bean pudding with vegetable oil</x:v>
      </x:c>
      <x:c r="F15" s="29" t="str">
        <x:v>Legumes</x:v>
      </x:c>
      <x:c r="G15" s="29" t="str">
        <x:v>Steamed</x:v>
      </x:c>
      <x:c r="H15" s="29" t="str">
        <x:v>Prepared food</x:v>
      </x:c>
      <x:c r="I15" s="29" t="n">
        <x:v>100</x:v>
      </x:c>
      <x:c r="J15" s="29" t="n">
        <x:v>108.41</x:v>
      </x:c>
      <x:c r="K15" s="29" t="n">
        <x:v>6.47</x:v>
      </x:c>
      <x:c r="L15" s="29" t="n">
        <x:v>2.17</x:v>
      </x:c>
      <x:c r="M15" s="29" t="n">
        <x:v>15.74</x:v>
      </x:c>
      <x:c r="N15" s="29"/>
      <x:c r="O15" s="29" t="str">
        <x:v>033,035</x:v>
      </x:c>
      <x:c r="P15" s="29" t="str">
        <x:v>Published</x:v>
      </x:c>
      <x:c r="Q15" s="29" t="str">
        <x:v>Source-transcribed</x:v>
      </x:c>
      <x:c r="R15" s="29" t="str">
        <x:v>Nigeria Food Composition Table</x:v>
      </x:c>
      <x:c r="S15" s="29" t="n">
        <x:v>2016</x:v>
      </x:c>
      <x:c r="T15" s="29" t="str">
        <x:v>Nigeria Food Composition Table.pdf</x:v>
      </x:c>
      <x:c r="U15" s="14"/>
      <x:c r="V15" s="14"/>
      <x:c r="W15" s="14"/>
      <x:c r="X15" s="14"/>
      <x:c r="Y15" s="14"/>
      <x:c r="Z15" s="14"/>
    </x:row>
    <x:row r="16" ht="15" hidden="0" customHeight="1">
      <x:c r="A16" s="29" t="str">
        <x:v>NG-03-02-10</x:v>
      </x:c>
      <x:c r="B16" s="29" t="str">
        <x:v>NG</x:v>
      </x:c>
      <x:c r="C16" s="29" t="str">
        <x:v>03_02_10</x:v>
      </x:c>
      <x:c r="D16" s="29" t="str">
        <x:v>Moin-Moin</x:v>
      </x:c>
      <x:c r="E16" s="29" t="str">
        <x:v>Steamed bean pudding with palm oil</x:v>
      </x:c>
      <x:c r="F16" s="29" t="str">
        <x:v>Legumes</x:v>
      </x:c>
      <x:c r="G16" s="29" t="str">
        <x:v>Steamed</x:v>
      </x:c>
      <x:c r="H16" s="29" t="str">
        <x:v>Prepared food</x:v>
      </x:c>
      <x:c r="I16" s="29" t="n">
        <x:v>100</x:v>
      </x:c>
      <x:c r="J16" s="29" t="n">
        <x:v>104.2</x:v>
      </x:c>
      <x:c r="K16" s="29" t="n">
        <x:v>6.52</x:v>
      </x:c>
      <x:c r="L16" s="29" t="n">
        <x:v>4.89</x:v>
      </x:c>
      <x:c r="M16" s="29" t="n">
        <x:v>8.43</x:v>
      </x:c>
      <x:c r="N16" s="29" t="n">
        <x:v>0.2</x:v>
      </x:c>
      <x:c r="O16" s="29" t="str">
        <x:v>096,033,035</x:v>
      </x:c>
      <x:c r="P16" s="29" t="str">
        <x:v>Published</x:v>
      </x:c>
      <x:c r="Q16" s="29" t="str">
        <x:v>Source-transcribed</x:v>
      </x:c>
      <x:c r="R16" s="29" t="str">
        <x:v>Nigeria Food Composition Table</x:v>
      </x:c>
      <x:c r="S16" s="29" t="n">
        <x:v>2016</x:v>
      </x:c>
      <x:c r="T16" s="29" t="str">
        <x:v>Nigeria Food Composition Table.pdf</x:v>
      </x:c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fd3651266e174a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6.75" hidden="0" customWidth="1"/>
    <x:col min="3" max="3" width="19.25" hidden="0" customWidth="1"/>
    <x:col min="4" max="4" width="14.5" hidden="0" customWidth="1"/>
    <x:col min="5" max="5" width="14.75" hidden="0" customWidth="1"/>
    <x:col min="6" max="6" width="21.3799991607666" hidden="0" customWidth="1"/>
    <x:col min="7" max="7" width="17.5" hidden="0" customWidth="1"/>
    <x:col min="8" max="8" width="17.8799991607666" hidden="0" customWidth="1"/>
    <x:col min="9" max="9" width="13.5" hidden="0" customWidth="1"/>
    <x:col min="10" max="10" width="33.880001068115234" hidden="0" customWidth="1"/>
  </x:cols>
  <x:sheetData>
    <x:row r="1" ht="15" hidden="0" customHeight="1">
      <x:c r="A1" s="44" t="str">
        <x:v>Country</x:v>
      </x:c>
      <x:c r="B1" s="44" t="str">
        <x:v>Composition source</x:v>
      </x:c>
      <x:c r="C1" s="44" t="str">
        <x:v>Source acquired</x:v>
      </x:c>
      <x:c r="D1" s="44" t="str">
        <x:v>Schema mapped</x:v>
      </x:c>
      <x:c r="E1" s="44" t="str">
        <x:v>Records ingested</x:v>
      </x:c>
      <x:c r="F1" s="44" t="str">
        <x:v>Local aliases</x:v>
      </x:c>
      <x:c r="G1" s="44" t="str">
        <x:v>Household measures</x:v>
      </x:c>
      <x:c r="H1" s="44" t="str">
        <x:v>Recipe layer</x:v>
      </x:c>
      <x:c r="I1" s="44" t="str">
        <x:v>Life-stage rules</x:v>
      </x:c>
      <x:c r="J1" s="44" t="str">
        <x:v>Current status</x:v>
      </x:c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 ht="15" hidden="0" customHeight="1">
      <x:c r="A2" s="29" t="str">
        <x:v>Kenya</x:v>
      </x:c>
      <x:c r="B2" s="29" t="str">
        <x:v>Kenya FCT 2018</x:v>
      </x:c>
      <x:c r="C2" s="29" t="str">
        <x:v>Yes — official PDF uploaded</x:v>
      </x:c>
      <x:c r="D2" s="29" t="str">
        <x:v>Yes</x:v>
      </x:c>
      <x:c r="E2" s="29" t="n">
        <x:v>15</x:v>
      </x:c>
      <x:c r="F2" s="29" t="str">
        <x:v>Pending (English/Swahili/local)</x:v>
      </x:c>
      <x:c r="G2" s="29" t="str">
        <x:v>Pending</x:v>
      </x:c>
      <x:c r="H2" s="29" t="str">
        <x:v>Source available in PDF</x:v>
      </x:c>
      <x:c r="I2" s="29" t="str">
        <x:v>Separate layer</x:v>
      </x:c>
      <x:c r="J2" s="29" t="str">
        <x:v>Ingestion active — starter records loaded</x:v>
      </x:c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 ht="15" hidden="0" customHeight="1">
      <x:c r="A3" s="29" t="str">
        <x:v>Nigeria</x:v>
      </x:c>
      <x:c r="B3" s="29" t="str">
        <x:v>Nigeria FCT 2016</x:v>
      </x:c>
      <x:c r="C3" s="29" t="str">
        <x:v>Yes — uploaded</x:v>
      </x:c>
      <x:c r="D3" s="29" t="str">
        <x:v>Yes</x:v>
      </x:c>
      <x:c r="E3" s="29" t="n">
        <x:v>15</x:v>
      </x:c>
      <x:c r="F3" s="29" t="str">
        <x:v>Started</x:v>
      </x:c>
      <x:c r="G3" s="29" t="str">
        <x:v>Pending</x:v>
      </x:c>
      <x:c r="H3" s="29" t="str">
        <x:v>Started</x:v>
      </x:c>
      <x:c r="I3" s="29" t="str">
        <x:v>Separate layer</x:v>
      </x:c>
      <x:c r="J3" s="29" t="str">
        <x:v>In progress</x:v>
      </x:c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 ht="15" hidden="0" customHeight="1">
      <x:c r="A4" s="29" t="str">
        <x:v>Senegal</x:v>
      </x:c>
      <x:c r="B4" s="29" t="str">
        <x:v>WAFCT 2019</x:v>
      </x:c>
      <x:c r="C4" s="29" t="str">
        <x:v>Yes — PDF uploaded</x:v>
      </x:c>
      <x:c r="D4" s="29" t="str">
        <x:v>Yes</x:v>
      </x:c>
      <x:c r="E4" s="29" t="n">
        <x:v>1</x:v>
      </x:c>
      <x:c r="F4" s="29" t="str">
        <x:v>Pending (French/Wolof/local)</x:v>
      </x:c>
      <x:c r="G4" s="29" t="str">
        <x:v>Pending</x:v>
      </x:c>
      <x:c r="H4" s="29" t="str">
        <x:v>Regional recipes available</x:v>
      </x:c>
      <x:c r="I4" s="29" t="str">
        <x:v>Separate layer</x:v>
      </x:c>
      <x:c r="J4" s="29" t="str">
        <x:v>Ingestion active — Senegal-explicit starter loaded</x:v>
      </x:c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d95cfd7bb571479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64.87999725341797" hidden="0" customWidth="1"/>
    <x:col min="3" max="3" width="40.130001068115234" hidden="0" customWidth="1"/>
  </x:cols>
  <x:sheetData>
    <x:row r="1" ht="15" hidden="0" customHeight="1">
      <x:c r="A1" s="34" t="str">
        <x:v>Domain</x:v>
      </x:c>
      <x:c r="B1" s="34" t="str">
        <x:v>Allowed / starter values</x:v>
      </x:c>
      <x:c r="C1" s="34" t="str">
        <x:v>Purpose</x:v>
      </x:c>
    </x:row>
    <x:row r="2" ht="15" hidden="0" customHeight="1">
      <x:c r="A2" s="29" t="str">
        <x:v>Country</x:v>
      </x:c>
      <x:c r="B2" s="29" t="str">
        <x:v>KE | NG | SN</x:v>
      </x:c>
      <x:c r="C2" s="29" t="str">
        <x:v>Country-pack selection</x:v>
      </x:c>
    </x:row>
    <x:row r="3" ht="15" hidden="0" customHeight="1">
      <x:c r="A3" s="29" t="str">
        <x:v>Recipe type</x:v>
      </x:c>
      <x:c r="B3" s="29" t="str">
        <x:v>Ingredient | Prepared food | Mixed dish</x:v>
      </x:c>
      <x:c r="C3" s="29" t="str">
        <x:v>Separate direct food records from recipes</x:v>
      </x:c>
    </x:row>
    <x:row r="4" ht="15" hidden="0" customHeight="1">
      <x:c r="A4" s="29" t="str">
        <x:v>Preparation</x:v>
      </x:c>
      <x:c r="B4" s="29" t="str">
        <x:v>Raw | Boiled | Fried | Steamed | Roasted | Fermented | Dried | Milled | Cooked paste | Mixed</x:v>
      </x:c>
      <x:c r="C4" s="29" t="str">
        <x:v>Normalize preparation while preserving source description</x:v>
      </x:c>
    </x:row>
    <x:row r="5" ht="15" hidden="0" customHeight="1">
      <x:c r="A5" s="29" t="str">
        <x:v>Value status</x:v>
      </x:c>
      <x:c r="B5" s="29" t="str">
        <x:v>Published | Trace | Missing | Calculated | Borrowed | Flagged</x:v>
      </x:c>
      <x:c r="C5" s="29" t="str">
        <x:v>Prevent zero/missing/trace confusion</x:v>
      </x:c>
    </x:row>
    <x:row r="6" ht="15" hidden="0" customHeight="1">
      <x:c r="A6" s="29" t="str">
        <x:v>QA status</x:v>
      </x:c>
      <x:c r="B6" s="29" t="str">
        <x:v>Source-transcribed | Machine-extracted | Cross-checked | Expert-verified | Needs review</x:v>
      </x:c>
      <x:c r="C6" s="29" t="str">
        <x:v>Audit trail</x:v>
      </x:c>
    </x:row>
    <x:row r="7" ht="15" hidden="0" customHeight="1">
      <x:c r="A7" s="29" t="str">
        <x:v>Life stage</x:v>
      </x:c>
      <x:c r="B7" s="29" t="str">
        <x:v>Pregnancy | Postpartum | 6–8 months | 9–11 months | 12–23 months</x:v>
      </x:c>
      <x:c r="C7" s="29" t="str">
        <x:v>Linked rules, not nutrient-table fields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5" hidden="0" customHeight="1">
      <x:c r="A1" s="34" t="str">
        <x:v>alias_id</x:v>
      </x:c>
      <x:c r="B1" s="34" t="str">
        <x:v>country_code</x:v>
      </x:c>
      <x:c r="C1" s="34" t="str">
        <x:v>pikabora_food_id</x:v>
      </x:c>
      <x:c r="D1" s="34" t="str">
        <x:v>alias</x:v>
      </x:c>
      <x:c r="E1" s="34" t="str">
        <x:v>language</x:v>
      </x:c>
      <x:c r="F1" s="34" t="str">
        <x:v>alias_type</x:v>
      </x:c>
      <x:c r="G1" s="34" t="str">
        <x:v>verification_status</x:v>
      </x:c>
      <x:c r="H1" s="34" t="str">
        <x:v>notes</x:v>
      </x:c>
    </x:row>
    <x:row r="2" ht="15" hidden="0" customHeight="1">
      <x:c r="A2" s="29" t="str">
        <x:v>AL-NG-001</x:v>
      </x:c>
      <x:c r="B2" s="29" t="str">
        <x:v>NG</x:v>
      </x:c>
      <x:c r="C2" s="29" t="str">
        <x:v>NG-01-02-03</x:v>
      </x:c>
      <x:c r="D2" s="29" t="str">
        <x:v>Ogi</x:v>
      </x:c>
      <x:c r="E2" s="29" t="str">
        <x:v>Yoruba</x:v>
      </x:c>
      <x:c r="F2" s="29" t="str">
        <x:v>Local/common</x:v>
      </x:c>
      <x:c r="G2" s="29" t="str">
        <x:v>Verified from source</x:v>
      </x:c>
      <x:c r="H2" s="29" t="str">
        <x:v>Source explicitly labels Ogi (Yoruba)</x:v>
      </x:c>
    </x:row>
    <x:row r="3" ht="15" hidden="0" customHeight="1">
      <x:c r="A3" s="29" t="str">
        <x:v>AL-NG-002</x:v>
      </x:c>
      <x:c r="B3" s="29" t="str">
        <x:v>NG</x:v>
      </x:c>
      <x:c r="C3" s="29" t="str">
        <x:v>NG-01-04-04</x:v>
      </x:c>
      <x:c r="D3" s="29" t="str">
        <x:v>Tuwo Shinkafa</x:v>
      </x:c>
      <x:c r="E3" s="29" t="str">
        <x:v>Hausa</x:v>
      </x:c>
      <x:c r="F3" s="29" t="str">
        <x:v>Local/common</x:v>
      </x:c>
      <x:c r="G3" s="29" t="str">
        <x:v>Verified from source</x:v>
      </x:c>
      <x:c r="H3" s="29" t="str">
        <x:v>Source explicitly labels Tuwo Shinkafa (Hausa)</x:v>
      </x:c>
    </x:row>
    <x:row r="4" ht="15" hidden="0" customHeight="1">
      <x:c r="A4" s="29" t="str">
        <x:v>AL-NG-003</x:v>
      </x:c>
      <x:c r="B4" s="29" t="str">
        <x:v>NG</x:v>
      </x:c>
      <x:c r="C4" s="29" t="str">
        <x:v>NG-02-03-06</x:v>
      </x:c>
      <x:c r="D4" s="29" t="str">
        <x:v>Eba</x:v>
      </x:c>
      <x:c r="E4" s="29" t="str">
        <x:v>Yoruba</x:v>
      </x:c>
      <x:c r="F4" s="29" t="str">
        <x:v>Local/common</x:v>
      </x:c>
      <x:c r="G4" s="29" t="str">
        <x:v>Verified from source</x:v>
      </x:c>
      <x:c r="H4" s="29" t="str">
        <x:v>Source explicitly labels Eba (Yoruba)</x:v>
      </x:c>
    </x:row>
    <x:row r="5" ht="15" hidden="0" customHeight="1">
      <x:c r="A5" s="29" t="str">
        <x:v>AL-NG-004</x:v>
      </x:c>
      <x:c r="B5" s="29" t="str">
        <x:v>NG</x:v>
      </x:c>
      <x:c r="C5" s="29" t="str">
        <x:v>NG-02-07-13</x:v>
      </x:c>
      <x:c r="D5" s="29" t="str">
        <x:v>Iyan</x:v>
      </x:c>
      <x:c r="E5" s="29" t="str">
        <x:v>Yoruba</x:v>
      </x:c>
      <x:c r="F5" s="29" t="str">
        <x:v>Local/common</x:v>
      </x:c>
      <x:c r="G5" s="29" t="str">
        <x:v>Verified from source</x:v>
      </x:c>
      <x:c r="H5" s="29" t="str">
        <x:v>Source explicitly labels Iyan (Yoruba)</x:v>
      </x:c>
    </x:row>
    <x:row r="6" ht="15" hidden="0" customHeight="1">
      <x:c r="A6" s="29" t="str">
        <x:v>AL-NG-005</x:v>
      </x:c>
      <x:c r="B6" s="29" t="str">
        <x:v>NG</x:v>
      </x:c>
      <x:c r="C6" s="29" t="str">
        <x:v>NG-02-07-15</x:v>
      </x:c>
      <x:c r="D6" s="29" t="str">
        <x:v>Amala dudu</x:v>
      </x:c>
      <x:c r="E6" s="29" t="str">
        <x:v>Yoruba</x:v>
      </x:c>
      <x:c r="F6" s="29" t="str">
        <x:v>Local/common</x:v>
      </x:c>
      <x:c r="G6" s="29" t="str">
        <x:v>Verified from source</x:v>
      </x:c>
      <x:c r="H6" s="29" t="str">
        <x:v>Source explicitly labels Amala dudu (Yoruba)</x:v>
      </x:c>
    </x:row>
    <x:row r="7" ht="15" hidden="0" customHeight="1">
      <x:c r="A7" s="29" t="str">
        <x:v>AL-NG-006</x:v>
      </x:c>
      <x:c r="B7" s="29" t="str">
        <x:v>NG</x:v>
      </x:c>
      <x:c r="C7" s="29" t="str">
        <x:v>NG-03-02-05</x:v>
      </x:c>
      <x:c r="D7" s="29" t="str">
        <x:v>Akara elepo</x:v>
      </x:c>
      <x:c r="E7" s="29" t="str">
        <x:v>Yoruba</x:v>
      </x:c>
      <x:c r="F7" s="29" t="str">
        <x:v>Local/common</x:v>
      </x:c>
      <x:c r="G7" s="29" t="str">
        <x:v>Verified from source</x:v>
      </x:c>
      <x:c r="H7" s="29" t="str">
        <x:v>Source explicitly labels Akara elepo (Yoruba)</x:v>
      </x:c>
    </x:row>
    <x:row r="8" ht="15" hidden="0" customHeight="1">
      <x:c r="A8" s="29" t="str">
        <x:v>AL-NG-007</x:v>
      </x:c>
      <x:c r="B8" s="29" t="str">
        <x:v>NG</x:v>
      </x:c>
      <x:c r="C8" s="29" t="str">
        <x:v>NG-03-02-05</x:v>
      </x:c>
      <x:c r="D8" s="29" t="str">
        <x:v>Bean cake</x:v>
      </x:c>
      <x:c r="E8" s="29" t="str">
        <x:v>English</x:v>
      </x:c>
      <x:c r="F8" s="29" t="str">
        <x:v>English/common</x:v>
      </x:c>
      <x:c r="G8" s="29" t="str">
        <x:v>Verified from source</x:v>
      </x:c>
      <x:c r="H8" s="29" t="str">
        <x:v>English name in source</x:v>
      </x:c>
    </x:row>
    <x:row r="9" ht="15" hidden="0" customHeight="1">
      <x:c r="A9" s="29" t="str">
        <x:v>AL-NG-008</x:v>
      </x:c>
      <x:c r="B9" s="29" t="str">
        <x:v>NG</x:v>
      </x:c>
      <x:c r="C9" s="29" t="str">
        <x:v>NG-03-02-09</x:v>
      </x:c>
      <x:c r="D9" s="29" t="str">
        <x:v>Moin-Moin</x:v>
      </x:c>
      <x:c r="E9" s="29" t="str">
        <x:v>English/common</x:v>
      </x:c>
      <x:c r="F9" s="29" t="str">
        <x:v>Common</x:v>
      </x:c>
      <x:c r="G9" s="29" t="str">
        <x:v>Verified from source</x:v>
      </x:c>
      <x:c r="H9" s="29" t="str">
        <x:v>Prepared bean dish in source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5" hidden="0" customHeight="1">
      <x:c r="A1" s="34" t="str">
        <x:v>measure_id</x:v>
      </x:c>
      <x:c r="B1" s="34" t="str">
        <x:v>country_code</x:v>
      </x:c>
      <x:c r="C1" s="34" t="str">
        <x:v>pikabora_food_id</x:v>
      </x:c>
      <x:c r="D1" s="34" t="str">
        <x:v>measure_name</x:v>
      </x:c>
      <x:c r="E1" s="34" t="str">
        <x:v>grams</x:v>
      </x:c>
      <x:c r="F1" s="34" t="str">
        <x:v>source</x:v>
      </x:c>
      <x:c r="G1" s="34" t="str">
        <x:v>status</x:v>
      </x:c>
      <x:c r="H1" s="34" t="str">
        <x:v>confidence</x:v>
      </x:c>
      <x:c r="I1" s="34" t="str">
        <x:v>notes</x:v>
      </x:c>
    </x:row>
    <x:row r="2" ht="15" hidden="0" customHeight="1">
      <x:c r="A2" s="29" t="str">
        <x:v>HM-KE-001</x:v>
      </x:c>
      <x:c r="B2" s="29" t="str">
        <x:v>KE</x:v>
      </x:c>
      <x:c r="C2" s="29" t="str"/>
      <x:c r="D2" s="29" t="str">
        <x:v>cup</x:v>
      </x:c>
      <x:c r="E2" s="29" t="str"/>
      <x:c r="F2" s="29" t="str">
        <x:v>Kenya household measure source</x:v>
      </x:c>
      <x:c r="G2" s="29" t="str">
        <x:v>Pending import</x:v>
      </x:c>
      <x:c r="H2" s="29" t="str">
        <x:v>Pending</x:v>
      </x:c>
      <x:c r="I2" s="29" t="str">
        <x:v>Do not estimate until source measure data are imported</x:v>
      </x:c>
    </x:row>
    <x:row r="3" ht="15" hidden="0" customHeight="1">
      <x:c r="A3" s="29" t="str">
        <x:v>HM-KE-002</x:v>
      </x:c>
      <x:c r="B3" s="29" t="str">
        <x:v>KE</x:v>
      </x:c>
      <x:c r="C3" s="29" t="str"/>
      <x:c r="D3" s="29" t="str">
        <x:v>tablespoon</x:v>
      </x:c>
      <x:c r="E3" s="29" t="str"/>
      <x:c r="F3" s="29" t="str">
        <x:v>Kenya household measure source</x:v>
      </x:c>
      <x:c r="G3" s="29" t="str">
        <x:v>Pending import</x:v>
      </x:c>
      <x:c r="H3" s="29" t="str">
        <x:v>Pending</x:v>
      </x:c>
      <x:c r="I3" s="29" t="str"/>
    </x:row>
    <x:row r="4" ht="15" hidden="0" customHeight="1">
      <x:c r="A4" s="29" t="str">
        <x:v>HM-NG-001</x:v>
      </x:c>
      <x:c r="B4" s="29" t="str">
        <x:v>NG</x:v>
      </x:c>
      <x:c r="C4" s="29" t="str"/>
      <x:c r="D4" s="29" t="str">
        <x:v>cup</x:v>
      </x:c>
      <x:c r="E4" s="29" t="str"/>
      <x:c r="F4" s="29" t="str">
        <x:v>To be validated</x:v>
      </x:c>
      <x:c r="G4" s="29" t="str">
        <x:v>Pending</x:v>
      </x:c>
      <x:c r="H4" s="29" t="str">
        <x:v>Pending</x:v>
      </x:c>
      <x:c r="I4" s="29" t="str"/>
    </x:row>
    <x:row r="5" ht="15" hidden="0" customHeight="1">
      <x:c r="A5" s="29" t="str">
        <x:v>HM-NG-002</x:v>
      </x:c>
      <x:c r="B5" s="29" t="str">
        <x:v>NG</x:v>
      </x:c>
      <x:c r="C5" s="29" t="str"/>
      <x:c r="D5" s="29" t="str">
        <x:v>ladle</x:v>
      </x:c>
      <x:c r="E5" s="29" t="str"/>
      <x:c r="F5" s="29" t="str">
        <x:v>To be validated</x:v>
      </x:c>
      <x:c r="G5" s="29" t="str">
        <x:v>Pending</x:v>
      </x:c>
      <x:c r="H5" s="29" t="str">
        <x:v>Pending</x:v>
      </x:c>
      <x:c r="I5" s="29" t="str"/>
    </x:row>
    <x:row r="6" ht="15" hidden="0" customHeight="1">
      <x:c r="A6" s="29" t="str">
        <x:v>HM-SN-001</x:v>
      </x:c>
      <x:c r="B6" s="29" t="str">
        <x:v>SN</x:v>
      </x:c>
      <x:c r="C6" s="29" t="str"/>
      <x:c r="D6" s="29" t="str">
        <x:v>bol/cup</x:v>
      </x:c>
      <x:c r="E6" s="29" t="str"/>
      <x:c r="F6" s="29" t="str">
        <x:v>To be validated</x:v>
      </x:c>
      <x:c r="G6" s="29" t="str">
        <x:v>Pending</x:v>
      </x:c>
      <x:c r="H6" s="29" t="str">
        <x:v>Pending</x:v>
      </x:c>
      <x:c r="I6" s="29" t="str">
        <x:v>French/local household measure mapping required</x:v>
      </x:c>
    </x:row>
    <x:row r="7" ht="15" hidden="0" customHeight="1">
      <x:c r="A7" s="29" t="str">
        <x:v>HM-SN-002</x:v>
      </x:c>
      <x:c r="B7" s="29" t="str">
        <x:v>SN</x:v>
      </x:c>
      <x:c r="C7" s="29" t="str"/>
      <x:c r="D7" s="29" t="str">
        <x:v>cuillère à soupe</x:v>
      </x:c>
      <x:c r="E7" s="29" t="str"/>
      <x:c r="F7" s="29" t="str">
        <x:v>To be validated</x:v>
      </x:c>
      <x:c r="G7" s="29" t="str">
        <x:v>Pending</x:v>
      </x:c>
      <x:c r="H7" s="29" t="str">
        <x:v>Pending</x:v>
      </x:c>
      <x:c r="I7" s="29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5" hidden="0" customHeight="1">
      <x:c r="A1" s="34" t="str">
        <x:v>recipe_id</x:v>
      </x:c>
      <x:c r="B1" s="34" t="str">
        <x:v>country_code</x:v>
      </x:c>
      <x:c r="C1" s="34" t="str">
        <x:v>recipe_name</x:v>
      </x:c>
      <x:c r="D1" s="34" t="str">
        <x:v>component_food_id</x:v>
      </x:c>
      <x:c r="E1" s="34" t="str">
        <x:v>component_name</x:v>
      </x:c>
      <x:c r="F1" s="34" t="str">
        <x:v>quantity_g</x:v>
      </x:c>
      <x:c r="G1" s="34" t="str">
        <x:v>preparation</x:v>
      </x:c>
      <x:c r="H1" s="34" t="str">
        <x:v>source</x:v>
      </x:c>
      <x:c r="I1" s="34" t="str">
        <x:v>status</x:v>
      </x:c>
      <x:c r="J1" s="34" t="str">
        <x:v>notes</x:v>
      </x:c>
    </x:row>
    <x:row r="2" ht="15" hidden="0" customHeight="1">
      <x:c r="A2" s="29" t="str">
        <x:v>RC-NG-JOLLOF</x:v>
      </x:c>
      <x:c r="B2" s="29" t="str">
        <x:v>NG</x:v>
      </x:c>
      <x:c r="C2" s="29" t="str">
        <x:v>Jollof rice</x:v>
      </x:c>
      <x:c r="D2" s="29" t="str">
        <x:v>NG-01-04-08</x:v>
      </x:c>
      <x:c r="E2" s="29" t="str">
        <x:v>Jollof rice</x:v>
      </x:c>
      <x:c r="F2" s="29" t="str"/>
      <x:c r="G2" s="29" t="str">
        <x:v>Cooked mixed dish</x:v>
      </x:c>
      <x:c r="H2" s="29" t="str">
        <x:v>Nigeria FCT 2016</x:v>
      </x:c>
      <x:c r="I2" s="29" t="str">
        <x:v>Published composite</x:v>
      </x:c>
      <x:c r="J2" s="29" t="str">
        <x:v>Exact ingredient weights not supplied in starter extraction</x:v>
      </x:c>
    </x:row>
    <x:row r="3" ht="15" hidden="0" customHeight="1">
      <x:c r="A3" s="29" t="str">
        <x:v>RC-NG-MOIN1</x:v>
      </x:c>
      <x:c r="B3" s="29" t="str">
        <x:v>NG</x:v>
      </x:c>
      <x:c r="C3" s="29" t="str">
        <x:v>Moin-Moin</x:v>
      </x:c>
      <x:c r="D3" s="29" t="str">
        <x:v>NG-03-02-09</x:v>
      </x:c>
      <x:c r="E3" s="29" t="str">
        <x:v>Moin-Moin with vegetable oil</x:v>
      </x:c>
      <x:c r="F3" s="29" t="str"/>
      <x:c r="G3" s="29" t="str">
        <x:v>Steamed</x:v>
      </x:c>
      <x:c r="H3" s="29" t="str">
        <x:v>Nigeria FCT 2016</x:v>
      </x:c>
      <x:c r="I3" s="29" t="str">
        <x:v>Published composite</x:v>
      </x:c>
      <x:c r="J3" s="29" t="str">
        <x:v>Keep source recipe profile distinct</x:v>
      </x:c>
    </x:row>
    <x:row r="4" ht="15" hidden="0" customHeight="1">
      <x:c r="A4" s="29" t="str">
        <x:v>RC-NG-MOIN2</x:v>
      </x:c>
      <x:c r="B4" s="29" t="str">
        <x:v>NG</x:v>
      </x:c>
      <x:c r="C4" s="29" t="str">
        <x:v>Moin-Moin</x:v>
      </x:c>
      <x:c r="D4" s="29" t="str">
        <x:v>NG-03-02-10</x:v>
      </x:c>
      <x:c r="E4" s="29" t="str">
        <x:v>Moin-Moin with palm oil</x:v>
      </x:c>
      <x:c r="F4" s="29" t="str"/>
      <x:c r="G4" s="29" t="str">
        <x:v>Steamed</x:v>
      </x:c>
      <x:c r="H4" s="29" t="str">
        <x:v>Nigeria FCT 2016</x:v>
      </x:c>
      <x:c r="I4" s="29" t="str">
        <x:v>Published composite</x:v>
      </x:c>
      <x:c r="J4" s="29" t="str">
        <x:v>Keep source recipe profile distinct</x:v>
      </x:c>
    </x:row>
    <x:row r="5" ht="15" hidden="0" customHeight="1">
      <x:c r="A5" s="29" t="str">
        <x:v>RC-KE-PENDING</x:v>
      </x:c>
      <x:c r="B5" s="29" t="str">
        <x:v>KE</x:v>
      </x:c>
      <x:c r="C5" s="29" t="str"/>
      <x:c r="D5" s="29" t="str"/>
      <x:c r="E5" s="29" t="str"/>
      <x:c r="F5" s="29" t="str"/>
      <x:c r="G5" s="29" t="str"/>
      <x:c r="H5" s="29" t="str">
        <x:v>Kenya FCT/Recipes 2018</x:v>
      </x:c>
      <x:c r="I5" s="29" t="str">
        <x:v>Pending import</x:v>
      </x:c>
      <x:c r="J5" s="29" t="str">
        <x:v>Electronic source confirmed</x:v>
      </x:c>
    </x:row>
    <x:row r="6" ht="15" hidden="0" customHeight="1">
      <x:c r="A6" s="29" t="str">
        <x:v>RC-SN-PENDING</x:v>
      </x:c>
      <x:c r="B6" s="29" t="str">
        <x:v>SN</x:v>
      </x:c>
      <x:c r="C6" s="29" t="str"/>
      <x:c r="D6" s="29" t="str"/>
      <x:c r="E6" s="29" t="str"/>
      <x:c r="F6" s="29" t="str"/>
      <x:c r="G6" s="29" t="str"/>
      <x:c r="H6" s="29" t="str">
        <x:v>WAFCT 2019</x:v>
      </x:c>
      <x:c r="I6" s="29" t="str">
        <x:v>Pending import</x:v>
      </x:c>
      <x:c r="J6" s="29" t="str">
        <x:v>Country-specific recipe identification required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5" hidden="0" customHeight="1">
      <x:c r="A1" s="34" t="str">
        <x:v>rule_id</x:v>
      </x:c>
      <x:c r="B1" s="34" t="str">
        <x:v>life_stage</x:v>
      </x:c>
      <x:c r="C1" s="34" t="str">
        <x:v>age_or_stage</x:v>
      </x:c>
      <x:c r="D1" s="34" t="str">
        <x:v>rule_domain</x:v>
      </x:c>
      <x:c r="E1" s="34" t="str">
        <x:v>rule_text</x:v>
      </x:c>
      <x:c r="F1" s="34" t="str">
        <x:v>country_scope</x:v>
      </x:c>
      <x:c r="G1" s="34" t="str">
        <x:v>evidence_status</x:v>
      </x:c>
      <x:c r="H1" s="34" t="str">
        <x:v>implementation_status</x:v>
      </x:c>
    </x:row>
    <x:row r="2" ht="15" hidden="0" customHeight="1">
      <x:c r="A2" s="29" t="str">
        <x:v>LS-PREG-001</x:v>
      </x:c>
      <x:c r="B2" s="29" t="str">
        <x:v>Pregnancy</x:v>
      </x:c>
      <x:c r="C2" s="29" t="str">
        <x:v>All trimesters</x:v>
      </x:c>
      <x:c r="D2" s="29" t="str">
        <x:v>Recommendation</x:v>
      </x:c>
      <x:c r="E2" s="29" t="str">
        <x:v>Use nutrient requirements and food-based guidance as a separate rules layer; do not infer requirements from food composition tables.</x:v>
      </x:c>
      <x:c r="F2" s="29" t="str">
        <x:v>All</x:v>
      </x:c>
      <x:c r="G2" s="29" t="str">
        <x:v>Requires guideline source</x:v>
      </x:c>
      <x:c r="H2" s="29" t="str">
        <x:v>Architecture</x:v>
      </x:c>
    </x:row>
    <x:row r="3" ht="15" hidden="0" customHeight="1">
      <x:c r="A3" s="29" t="str">
        <x:v>LS-PREG-002</x:v>
      </x:c>
      <x:c r="B3" s="29" t="str">
        <x:v>Pregnancy</x:v>
      </x:c>
      <x:c r="C3" s="29" t="str">
        <x:v>All trimesters</x:v>
      </x:c>
      <x:c r="D3" s="29" t="str">
        <x:v>Safety</x:v>
      </x:c>
      <x:c r="E3" s="29" t="str">
        <x:v>Pikabora provides food/nutrition support and does not replace antenatal care or prescribed supplements.</x:v>
      </x:c>
      <x:c r="F3" s="29" t="str">
        <x:v>All</x:v>
      </x:c>
      <x:c r="G3" s="29" t="str">
        <x:v>Safety design</x:v>
      </x:c>
      <x:c r="H3" s="29" t="str">
        <x:v>Architecture</x:v>
      </x:c>
    </x:row>
    <x:row r="4" ht="15" hidden="0" customHeight="1">
      <x:c r="A4" s="29" t="str">
        <x:v>LS-CF-001</x:v>
      </x:c>
      <x:c r="B4" s="29" t="str">
        <x:v>Complementary feeding</x:v>
      </x:c>
      <x:c r="C4" s="29" t="str">
        <x:v>6–8 months</x:v>
      </x:c>
      <x:c r="D4" s="29" t="str">
        <x:v>Module status</x:v>
      </x:c>
      <x:c r="E4" s="29" t="str">
        <x:v>Architecture reserved; not active in V1 pregnancy pilot.</x:v>
      </x:c>
      <x:c r="F4" s="29" t="str">
        <x:v>All</x:v>
      </x:c>
      <x:c r="G4" s="29" t="str">
        <x:v>Product decision</x:v>
      </x:c>
      <x:c r="H4" s="29" t="str">
        <x:v>Locked</x:v>
      </x:c>
    </x:row>
    <x:row r="5" ht="15" hidden="0" customHeight="1">
      <x:c r="A5" s="29" t="str">
        <x:v>LS-CF-002</x:v>
      </x:c>
      <x:c r="B5" s="29" t="str">
        <x:v>Complementary feeding</x:v>
      </x:c>
      <x:c r="C5" s="29" t="str">
        <x:v>9–11 months</x:v>
      </x:c>
      <x:c r="D5" s="29" t="str">
        <x:v>Module status</x:v>
      </x:c>
      <x:c r="E5" s="29" t="str">
        <x:v>Architecture reserved; not active in V1 pregnancy pilot.</x:v>
      </x:c>
      <x:c r="F5" s="29" t="str">
        <x:v>All</x:v>
      </x:c>
      <x:c r="G5" s="29" t="str">
        <x:v>Product decision</x:v>
      </x:c>
      <x:c r="H5" s="29" t="str">
        <x:v>Locked</x:v>
      </x:c>
    </x:row>
    <x:row r="6" ht="15" hidden="0" customHeight="1">
      <x:c r="A6" s="29" t="str">
        <x:v>LS-CF-003</x:v>
      </x:c>
      <x:c r="B6" s="29" t="str">
        <x:v>Complementary feeding</x:v>
      </x:c>
      <x:c r="C6" s="29" t="str">
        <x:v>12–23 months</x:v>
      </x:c>
      <x:c r="D6" s="29" t="str">
        <x:v>Module status</x:v>
      </x:c>
      <x:c r="E6" s="29" t="str">
        <x:v>Architecture reserved; not active in V1 pregnancy pilot.</x:v>
      </x:c>
      <x:c r="F6" s="29" t="str">
        <x:v>All</x:v>
      </x:c>
      <x:c r="G6" s="29" t="str">
        <x:v>Product decision</x:v>
      </x:c>
      <x:c r="H6" s="29" t="str">
        <x:v>Locked</x:v>
      </x:c>
    </x:row>
    <x:row r="7" ht="15" hidden="0" customHeight="1">
      <x:c r="A7" s="29" t="str">
        <x:v>LS-DATA-001</x:v>
      </x:c>
      <x:c r="B7" s="29" t="str">
        <x:v>All</x:v>
      </x:c>
      <x:c r="C7" s="29" t="str">
        <x:v>All</x:v>
      </x:c>
      <x:c r="D7" s="29" t="str">
        <x:v>Data provenance</x:v>
      </x:c>
      <x:c r="E7" s="29" t="str">
        <x:v>Food composition values remain country/source specific and are not automatically substituted across countries.</x:v>
      </x:c>
      <x:c r="F7" s="29" t="str">
        <x:v>All</x:v>
      </x:c>
      <x:c r="G7" s="29" t="str">
        <x:v>Data-governance rule</x:v>
      </x:c>
      <x:c r="H7" s="29" t="str">
        <x:v>Locked</x:v>
      </x:c>
    </x:row>
    <x:row r="8" ht="15" hidden="0" customHeight="1">
      <x:c r="A8" s="29" t="str">
        <x:v>LS-DATA-002</x:v>
      </x:c>
      <x:c r="B8" s="29" t="str">
        <x:v>All</x:v>
      </x:c>
      <x:c r="C8" s="29" t="str">
        <x:v>All</x:v>
      </x:c>
      <x:c r="D8" s="29" t="str">
        <x:v>Missing values</x:v>
      </x:c>
      <x:c r="E8" s="29" t="str">
        <x:v>Missing, trace, bracketed, calculated and borrowed values must remain distinguishable during import.</x:v>
      </x:c>
      <x:c r="F8" s="29" t="str">
        <x:v>All</x:v>
      </x:c>
      <x:c r="G8" s="29" t="str">
        <x:v>Data-governance rule</x:v>
      </x:c>
      <x:c r="H8" s="29" t="str">
        <x:v>Locked</x:v>
      </x:c>
    </x:row>
    <x:row r="9" ht="15" hidden="0" customHeight="1">
      <x:c r="A9" s="29" t="str">
        <x:v>LS-DATA-003</x:v>
      </x:c>
      <x:c r="B9" s="29" t="str">
        <x:v>All</x:v>
      </x:c>
      <x:c r="C9" s="29" t="str">
        <x:v>All</x:v>
      </x:c>
      <x:c r="D9" s="29" t="str">
        <x:v>Output precision</x:v>
      </x:c>
      <x:c r="E9" s="29" t="str">
        <x:v>Consumer outputs should avoid false precision when source or portion uncertainty is material.</x:v>
      </x:c>
      <x:c r="F9" s="29" t="str">
        <x:v>All</x:v>
      </x:c>
      <x:c r="G9" s="29" t="str">
        <x:v>Data-governance rule</x:v>
      </x:c>
      <x:c r="H9" s="29" t="str">
        <x:v>Locked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5" hidden="0" customHeight="1">
      <x:c r="A1" s="34" t="str">
        <x:v>safety_id</x:v>
      </x:c>
      <x:c r="B1" s="34" t="str">
        <x:v>life_stage</x:v>
      </x:c>
      <x:c r="C1" s="34" t="str">
        <x:v>trigger_category</x:v>
      </x:c>
      <x:c r="D1" s="34" t="str">
        <x:v>trigger_example</x:v>
      </x:c>
      <x:c r="E1" s="34" t="str">
        <x:v>system_action</x:v>
      </x:c>
      <x:c r="F1" s="34" t="str">
        <x:v>severity</x:v>
      </x:c>
      <x:c r="G1" s="34" t="str">
        <x:v>status</x:v>
      </x:c>
    </x:row>
    <x:row r="2" ht="15" hidden="0" customHeight="1">
      <x:c r="A2" s="29" t="str">
        <x:v>SF-001</x:v>
      </x:c>
      <x:c r="B2" s="29" t="str">
        <x:v>Pregnancy</x:v>
      </x:c>
      <x:c r="C2" s="29" t="str">
        <x:v>Clinical condition</x:v>
      </x:c>
      <x:c r="D2" s="29" t="str">
        <x:v>Gestational diabetes</x:v>
      </x:c>
      <x:c r="E2" s="29" t="str">
        <x:v>Escalate to clinician/dietitian pathway; do not auto-generate disease-specific diet.</x:v>
      </x:c>
      <x:c r="F2" s="29" t="str">
        <x:v>High</x:v>
      </x:c>
      <x:c r="G2" s="29" t="str">
        <x:v>Architecture</x:v>
      </x:c>
    </x:row>
    <x:row r="3" ht="15" hidden="0" customHeight="1">
      <x:c r="A3" s="29" t="str">
        <x:v>SF-002</x:v>
      </x:c>
      <x:c r="B3" s="29" t="str">
        <x:v>Pregnancy</x:v>
      </x:c>
      <x:c r="C3" s="29" t="str">
        <x:v>Clinical condition</x:v>
      </x:c>
      <x:c r="D3" s="29" t="str">
        <x:v>Severe anaemia</x:v>
      </x:c>
      <x:c r="E3" s="29" t="str">
        <x:v>Escalate to antenatal/clinical care; food guidance is supportive only.</x:v>
      </x:c>
      <x:c r="F3" s="29" t="str">
        <x:v>High</x:v>
      </x:c>
      <x:c r="G3" s="29" t="str">
        <x:v>Architecture</x:v>
      </x:c>
    </x:row>
    <x:row r="4" ht="15" hidden="0" customHeight="1">
      <x:c r="A4" s="29" t="str">
        <x:v>SF-003</x:v>
      </x:c>
      <x:c r="B4" s="29" t="str">
        <x:v>Pregnancy</x:v>
      </x:c>
      <x:c r="C4" s="29" t="str">
        <x:v>Clinical condition</x:v>
      </x:c>
      <x:c r="D4" s="29" t="str">
        <x:v>Hypertension</x:v>
      </x:c>
      <x:c r="E4" s="29" t="str">
        <x:v>Escalate to clinical care; avoid diagnosis/treatment claims.</x:v>
      </x:c>
      <x:c r="F4" s="29" t="str">
        <x:v>High</x:v>
      </x:c>
      <x:c r="G4" s="29" t="str">
        <x:v>Architecture</x:v>
      </x:c>
    </x:row>
    <x:row r="5" ht="15" hidden="0" customHeight="1">
      <x:c r="A5" s="29" t="str">
        <x:v>SF-004</x:v>
      </x:c>
      <x:c r="B5" s="29" t="str">
        <x:v>Pregnancy</x:v>
      </x:c>
      <x:c r="C5" s="29" t="str">
        <x:v>Symptom</x:v>
      </x:c>
      <x:c r="D5" s="29" t="str">
        <x:v>Persistent vomiting</x:v>
      </x:c>
      <x:c r="E5" s="29" t="str">
        <x:v>Advise prompt clinical assessment when severe/persistent; do not rely on meal recommendation alone.</x:v>
      </x:c>
      <x:c r="F5" s="29" t="str">
        <x:v>High</x:v>
      </x:c>
      <x:c r="G5" s="29" t="str">
        <x:v>Architecture</x:v>
      </x:c>
    </x:row>
    <x:row r="6" ht="15" hidden="0" customHeight="1">
      <x:c r="A6" s="29" t="str">
        <x:v>SF-005</x:v>
      </x:c>
      <x:c r="B6" s="29" t="str">
        <x:v>All</x:v>
      </x:c>
      <x:c r="C6" s="29" t="str">
        <x:v>Allergy</x:v>
      </x:c>
      <x:c r="D6" s="29" t="str">
        <x:v>Known food allergy</x:v>
      </x:c>
      <x:c r="E6" s="29" t="str">
        <x:v>Exclude flagged allergen and provide safety warning.</x:v>
      </x:c>
      <x:c r="F6" s="29" t="str">
        <x:v>High</x:v>
      </x:c>
      <x:c r="G6" s="29" t="str">
        <x:v>Architecture</x:v>
      </x:c>
    </x:row>
    <x:row r="7" ht="15" hidden="0" customHeight="1">
      <x:c r="A7" s="29" t="str">
        <x:v>SF-006</x:v>
      </x:c>
      <x:c r="B7" s="29" t="str">
        <x:v>Infant</x:v>
      </x:c>
      <x:c r="C7" s="29" t="str">
        <x:v>Growth/illness</x:v>
      </x:c>
      <x:c r="D7" s="29" t="str">
        <x:v>Poor growth or severe illness</x:v>
      </x:c>
      <x:c r="E7" s="29" t="str">
        <x:v>Escalate to qualified child-health service.</x:v>
      </x:c>
      <x:c r="F7" s="29" t="str">
        <x:v>High</x:v>
      </x:c>
      <x:c r="G7" s="29" t="str">
        <x:v>Future module</x:v>
      </x:c>
    </x:row>
    <x:row r="8" ht="15" hidden="0" customHeight="1">
      <x:c r="A8" s="29" t="str">
        <x:v>SF-007</x:v>
      </x:c>
      <x:c r="B8" s="29" t="str">
        <x:v>Infant</x:v>
      </x:c>
      <x:c r="C8" s="29" t="str">
        <x:v>Allergy</x:v>
      </x:c>
      <x:c r="D8" s="29" t="str">
        <x:v>Suspected allergic reaction</x:v>
      </x:c>
      <x:c r="E8" s="29" t="str">
        <x:v>Stop recommendation flow and escalate to urgent care based on severity.</x:v>
      </x:c>
      <x:c r="F8" s="29" t="str">
        <x:v>High</x:v>
      </x:c>
      <x:c r="G8" s="29" t="str">
        <x:v>Future module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2.3800001144409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6.130000114440918" hidden="0" customWidth="1"/>
    <x:col min="10" max="10" width="9.630000114440918" hidden="0" customWidth="1"/>
    <x:col min="11" max="11" width="7.880000114440918" hidden="0" customWidth="1"/>
    <x:col min="12" max="12" width="4.380000114440918" hidden="0" customWidth="1"/>
    <x:col min="13" max="13" width="12.380000114440918" hidden="0" customWidth="1"/>
    <x:col min="14" max="14" width="5.880000114440918" hidden="0" customWidth="1"/>
    <x:col min="15" max="15" width="24" hidden="0" customWidth="1"/>
    <x:col min="16" max="16" width="14" hidden="0" customWidth="1"/>
    <x:col min="17" max="17" width="24" hidden="0" customWidth="1"/>
    <x:col min="18" max="18" width="24" hidden="0" customWidth="1"/>
    <x:col min="19" max="19" width="9.75" hidden="0" customWidth="1"/>
    <x:col min="20" max="20" width="24" hidden="0" customWidth="1"/>
  </x:cols>
  <x:sheetData>
    <x:row r="1">
      <x:c r="A1" s="42" t="str">
        <x:v>pikabora_food_id</x:v>
      </x:c>
      <x:c r="B1" s="42" t="str">
        <x:v>country_code</x:v>
      </x:c>
      <x:c r="C1" s="42" t="str">
        <x:v>source_food_id</x:v>
      </x:c>
      <x:c r="D1" s="42" t="str">
        <x:v>source_food_name</x:v>
      </x:c>
      <x:c r="E1" s="42" t="str">
        <x:v>canonical_name</x:v>
      </x:c>
      <x:c r="F1" s="42" t="str">
        <x:v>food_group</x:v>
      </x:c>
      <x:c r="G1" s="42" t="str">
        <x:v>preparation_state</x:v>
      </x:c>
      <x:c r="H1" s="42" t="str">
        <x:v>recipe_or_ingredient</x:v>
      </x:c>
      <x:c r="I1" s="42" t="str">
        <x:v>basis_g</x:v>
      </x:c>
      <x:c r="J1" s="42" t="str">
        <x:v>energy_kcal</x:v>
      </x:c>
      <x:c r="K1" s="42" t="str">
        <x:v>protein_g</x:v>
      </x:c>
      <x:c r="L1" s="42" t="str">
        <x:v>fat_g</x:v>
      </x:c>
      <x:c r="M1" s="42" t="str">
        <x:v>carbohydrate_g</x:v>
      </x:c>
      <x:c r="N1" s="42" t="str">
        <x:v>fibre_g</x:v>
      </x:c>
      <x:c r="O1" s="42" t="str">
        <x:v>source_refs</x:v>
      </x:c>
      <x:c r="P1" s="42" t="str">
        <x:v>value_status</x:v>
      </x:c>
      <x:c r="Q1" s="42" t="str">
        <x:v>data_quality_flag</x:v>
      </x:c>
      <x:c r="R1" s="42" t="str">
        <x:v>source_title</x:v>
      </x:c>
      <x:c r="S1" s="42" t="str">
        <x:v>source_year</x:v>
      </x:c>
      <x:c r="T1" s="42" t="str">
        <x:v>source_url_or_file</x:v>
      </x:c>
      <x:c r="U1" s="42"/>
      <x:c r="V1" s="42"/>
      <x:c r="W1" s="42"/>
      <x:c r="X1" s="42"/>
      <x:c r="Y1" s="42"/>
      <x:c r="Z1" s="42"/>
    </x:row>
    <x:row r="2">
      <x:c r="A2" s="14" t="str">
        <x:v>KE-01-001</x:v>
      </x:c>
      <x:c r="B2" s="14" t="str">
        <x:v>KE</x:v>
      </x:c>
      <x:c r="C2" s="14" t="str">
        <x:v>01001</x:v>
      </x:c>
      <x:c r="D2" s="14" t="str">
        <x:v>Amaranth, whole grain, dry, raw</x:v>
      </x:c>
      <x:c r="E2" s="14" t="str">
        <x:v>Amaranth grain</x:v>
      </x:c>
      <x:c r="F2" s="14" t="str">
        <x:v>Cereals</x:v>
      </x:c>
      <x:c r="G2" s="14" t="str">
        <x:v>Raw/dry</x:v>
      </x:c>
      <x:c r="H2" s="14" t="str">
        <x:v>Ingredient</x:v>
      </x:c>
      <x:c r="I2" s="14" t="n">
        <x:v>100</x:v>
      </x:c>
      <x:c r="J2" s="14" t="n">
        <x:v>360</x:v>
      </x:c>
      <x:c r="K2" s="14" t="n">
        <x:v>14.7</x:v>
      </x:c>
      <x:c r="L2" s="14" t="n">
        <x:v>5.6</x:v>
      </x:c>
      <x:c r="M2" s="14" t="n">
        <x:v>59.2</x:v>
      </x:c>
      <x:c r="N2" s="14" t="n">
        <x:v>7.5</x:v>
      </x:c>
      <x:c r="O2" s="14" t="str">
        <x:v>KFCT Table 1</x:v>
      </x:c>
      <x:c r="P2" s="14" t="str">
        <x:v>Published</x:v>
      </x:c>
      <x:c r="Q2" s="14" t="str">
        <x:v>Source-transcribed</x:v>
      </x:c>
      <x:c r="R2" s="14" t="str">
        <x:v>Kenya Food Composition Tables</x:v>
      </x:c>
      <x:c r="S2" s="14" t="n">
        <x:v>2018</x:v>
      </x:c>
      <x:c r="T2" s="14" t="str">
        <x:v>content (1)(1).pdf</x:v>
      </x:c>
      <x:c r="U2" s="14"/>
      <x:c r="V2" s="14"/>
      <x:c r="W2" s="14"/>
      <x:c r="X2" s="14"/>
      <x:c r="Y2" s="14"/>
      <x:c r="Z2" s="14"/>
    </x:row>
    <x:row r="3">
      <x:c r="A3" s="14" t="str">
        <x:v>KE-01-046</x:v>
      </x:c>
      <x:c r="B3" s="14" t="str">
        <x:v>KE</x:v>
      </x:c>
      <x:c r="C3" s="14" t="str">
        <x:v>01046</x:v>
      </x:c>
      <x:c r="D3" s="14" t="str">
        <x:v>Amaranth, whole grain, dry, stewed (without salt)</x:v>
      </x:c>
      <x:c r="E3" s="14" t="str">
        <x:v>Amaranth grain, stewed</x:v>
      </x:c>
      <x:c r="F3" s="14" t="str">
        <x:v>Cereals</x:v>
      </x:c>
      <x:c r="G3" s="14" t="str">
        <x:v>Stewed</x:v>
      </x:c>
      <x:c r="H3" s="14" t="str">
        <x:v>Prepared food</x:v>
      </x:c>
      <x:c r="I3" s="14" t="n">
        <x:v>100</x:v>
      </x:c>
      <x:c r="J3" s="14" t="n">
        <x:v>121</x:v>
      </x:c>
      <x:c r="K3" s="14" t="n">
        <x:v>4.9</x:v>
      </x:c>
      <x:c r="L3" s="14" t="n">
        <x:v>1.9</x:v>
      </x:c>
      <x:c r="M3" s="14" t="n">
        <x:v>19.9</x:v>
      </x:c>
      <x:c r="N3" s="14" t="n">
        <x:v>2.5</x:v>
      </x:c>
      <x:c r="O3" s="14" t="str">
        <x:v>KFCT Table 1</x:v>
      </x:c>
      <x:c r="P3" s="14" t="str">
        <x:v>Published</x:v>
      </x:c>
      <x:c r="Q3" s="14" t="str">
        <x:v>Source-transcribed</x:v>
      </x:c>
      <x:c r="R3" s="14" t="str">
        <x:v>Kenya Food Composition Tables</x:v>
      </x:c>
      <x:c r="S3" s="14" t="n">
        <x:v>2018</x:v>
      </x:c>
      <x:c r="T3" s="14" t="str">
        <x:v>content (1)(1).pdf</x:v>
      </x:c>
      <x:c r="U3" s="14"/>
      <x:c r="V3" s="14"/>
      <x:c r="W3" s="14"/>
      <x:c r="X3" s="14"/>
      <x:c r="Y3" s="14"/>
      <x:c r="Z3" s="14"/>
    </x:row>
    <x:row r="4">
      <x:c r="A4" s="14" t="str">
        <x:v>KE-01-002</x:v>
      </x:c>
      <x:c r="B4" s="14" t="str">
        <x:v>KE</x:v>
      </x:c>
      <x:c r="C4" s="14" t="str">
        <x:v>01002</x:v>
      </x:c>
      <x:c r="D4" s="14" t="str">
        <x:v>Amaranth, whole grain, flour</x:v>
      </x:c>
      <x:c r="E4" s="14" t="str">
        <x:v>Amaranth flour</x:v>
      </x:c>
      <x:c r="F4" s="14" t="str">
        <x:v>Cereals</x:v>
      </x:c>
      <x:c r="G4" s="14" t="str">
        <x:v>Milled</x:v>
      </x:c>
      <x:c r="H4" s="14" t="str">
        <x:v>Ingredient</x:v>
      </x:c>
      <x:c r="I4" s="14" t="n">
        <x:v>100</x:v>
      </x:c>
      <x:c r="J4" s="14" t="n">
        <x:v>365</x:v>
      </x:c>
      <x:c r="K4" s="14" t="n">
        <x:v>13.8</x:v>
      </x:c>
      <x:c r="L4" s="14" t="n">
        <x:v>6.3</x:v>
      </x:c>
      <x:c r="M4" s="14" t="n">
        <x:v>59.6</x:v>
      </x:c>
      <x:c r="N4" s="14" t="n">
        <x:v>7.1</x:v>
      </x:c>
      <x:c r="O4" s="14" t="str">
        <x:v>KFCT Table 1</x:v>
      </x:c>
      <x:c r="P4" s="14" t="str">
        <x:v>Published</x:v>
      </x:c>
      <x:c r="Q4" s="14" t="str">
        <x:v>Source-transcribed</x:v>
      </x:c>
      <x:c r="R4" s="14" t="str">
        <x:v>Kenya Food Composition Tables</x:v>
      </x:c>
      <x:c r="S4" s="14" t="n">
        <x:v>2018</x:v>
      </x:c>
      <x:c r="T4" s="14" t="str">
        <x:v>content (1)(1).pdf</x:v>
      </x:c>
      <x:c r="U4" s="14"/>
      <x:c r="V4" s="14"/>
      <x:c r="W4" s="14"/>
      <x:c r="X4" s="14"/>
      <x:c r="Y4" s="14"/>
      <x:c r="Z4" s="14"/>
    </x:row>
    <x:row r="5">
      <x:c r="A5" s="14" t="str">
        <x:v>KE-01-003</x:v>
      </x:c>
      <x:c r="B5" s="14" t="str">
        <x:v>KE</x:v>
      </x:c>
      <x:c r="C5" s="14" t="str">
        <x:v>01003</x:v>
      </x:c>
      <x:c r="D5" s="14" t="str">
        <x:v>Biscuit, Savoury</x:v>
      </x:c>
      <x:c r="E5" s="14" t="str">
        <x:v>Savoury biscuit</x:v>
      </x:c>
      <x:c r="F5" s="14" t="str">
        <x:v>Cereals</x:v>
      </x:c>
      <x:c r="G5" s="14" t="str">
        <x:v>Baked</x:v>
      </x:c>
      <x:c r="H5" s="14" t="str">
        <x:v>Prepared food</x:v>
      </x:c>
      <x:c r="I5" s="14" t="n">
        <x:v>100</x:v>
      </x:c>
      <x:c r="J5" s="14" t="n">
        <x:v>492</x:v>
      </x:c>
      <x:c r="K5" s="14" t="n">
        <x:v>6.6</x:v>
      </x:c>
      <x:c r="L5" s="14" t="n">
        <x:v>24.9</x:v>
      </x:c>
      <x:c r="M5" s="14" t="n">
        <x:v>58.9</x:v>
      </x:c>
      <x:c r="N5" s="14" t="n">
        <x:v>3.3</x:v>
      </x:c>
      <x:c r="O5" s="14" t="str">
        <x:v>KFCT Table 1</x:v>
      </x:c>
      <x:c r="P5" s="14" t="str">
        <x:v>Published</x:v>
      </x:c>
      <x:c r="Q5" s="14" t="str">
        <x:v>Source-transcribed</x:v>
      </x:c>
      <x:c r="R5" s="14" t="str">
        <x:v>Kenya Food Composition Tables</x:v>
      </x:c>
      <x:c r="S5" s="14" t="n">
        <x:v>2018</x:v>
      </x:c>
      <x:c r="T5" s="14" t="str">
        <x:v>content (1)(1).pdf</x:v>
      </x:c>
      <x:c r="U5" s="14"/>
      <x:c r="V5" s="14"/>
      <x:c r="W5" s="14"/>
      <x:c r="X5" s="14"/>
      <x:c r="Y5" s="14"/>
      <x:c r="Z5" s="14"/>
    </x:row>
    <x:row r="6">
      <x:c r="A6" s="14" t="str">
        <x:v>KE-01-004</x:v>
      </x:c>
      <x:c r="B6" s="14" t="str">
        <x:v>KE</x:v>
      </x:c>
      <x:c r="C6" s="14" t="str">
        <x:v>01004</x:v>
      </x:c>
      <x:c r="D6" s="14" t="str">
        <x:v>Biscuit, Sweet</x:v>
      </x:c>
      <x:c r="E6" s="14" t="str">
        <x:v>Sweet biscuit</x:v>
      </x:c>
      <x:c r="F6" s="14" t="str">
        <x:v>Cereals</x:v>
      </x:c>
      <x:c r="G6" s="14" t="str">
        <x:v>Baked</x:v>
      </x:c>
      <x:c r="H6" s="14" t="str">
        <x:v>Prepared food</x:v>
      </x:c>
      <x:c r="I6" s="14" t="n">
        <x:v>100</x:v>
      </x:c>
      <x:c r="J6" s="14" t="n">
        <x:v>460</x:v>
      </x:c>
      <x:c r="K6" s="14" t="n">
        <x:v>6.1</x:v>
      </x:c>
      <x:c r="L6" s="14" t="n">
        <x:v>17.2</x:v>
      </x:c>
      <x:c r="M6" s="14" t="n">
        <x:v>69.3</x:v>
      </x:c>
      <x:c r="N6" s="14" t="n">
        <x:v>2.1</x:v>
      </x:c>
      <x:c r="O6" s="14" t="str">
        <x:v>KFCT Table 1</x:v>
      </x:c>
      <x:c r="P6" s="14" t="str">
        <x:v>Published</x:v>
      </x:c>
      <x:c r="Q6" s="14" t="str">
        <x:v>Source-transcribed</x:v>
      </x:c>
      <x:c r="R6" s="14" t="str">
        <x:v>Kenya Food Composition Tables</x:v>
      </x:c>
      <x:c r="S6" s="14" t="n">
        <x:v>2018</x:v>
      </x:c>
      <x:c r="T6" s="14" t="str">
        <x:v>content (1)(1).pdf</x:v>
      </x:c>
      <x:c r="U6" s="14"/>
      <x:c r="V6" s="14"/>
      <x:c r="W6" s="14"/>
      <x:c r="X6" s="14"/>
      <x:c r="Y6" s="14"/>
      <x:c r="Z6" s="14"/>
    </x:row>
    <x:row r="7">
      <x:c r="A7" s="14" t="str">
        <x:v>KE-01-005</x:v>
      </x:c>
      <x:c r="B7" s="14" t="str">
        <x:v>KE</x:v>
      </x:c>
      <x:c r="C7" s="14" t="str">
        <x:v>01005</x:v>
      </x:c>
      <x:c r="D7" s="14" t="str">
        <x:v>Bread, Brown</x:v>
      </x:c>
      <x:c r="E7" s="14" t="str">
        <x:v>Brown bread</x:v>
      </x:c>
      <x:c r="F7" s="14" t="str">
        <x:v>Cereals</x:v>
      </x:c>
      <x:c r="G7" s="14" t="str">
        <x:v>Baked</x:v>
      </x:c>
      <x:c r="H7" s="14" t="str">
        <x:v>Prepared food</x:v>
      </x:c>
      <x:c r="I7" s="14" t="n">
        <x:v>100</x:v>
      </x:c>
      <x:c r="J7" s="14" t="n">
        <x:v>245</x:v>
      </x:c>
      <x:c r="K7" s="14" t="n">
        <x:v>8</x:v>
      </x:c>
      <x:c r="L7" s="14" t="n">
        <x:v>1.5</x:v>
      </x:c>
      <x:c r="M7" s="14" t="n">
        <x:v>46.9</x:v>
      </x:c>
      <x:c r="N7" s="14" t="n">
        <x:v>5.9</x:v>
      </x:c>
      <x:c r="O7" s="14" t="str">
        <x:v>KFCT Table 1; fat lower-quality</x:v>
      </x:c>
      <x:c r="P7" s="14" t="str">
        <x:v>Published/flagged</x:v>
      </x:c>
      <x:c r="Q7" s="14" t="str">
        <x:v>Source-transcribed</x:v>
      </x:c>
      <x:c r="R7" s="14" t="str">
        <x:v>Kenya Food Composition Tables</x:v>
      </x:c>
      <x:c r="S7" s="14" t="n">
        <x:v>2018</x:v>
      </x:c>
      <x:c r="T7" s="14" t="str">
        <x:v>content (1)(1).pdf</x:v>
      </x:c>
      <x:c r="U7" s="14"/>
      <x:c r="V7" s="14"/>
      <x:c r="W7" s="14"/>
      <x:c r="X7" s="14"/>
      <x:c r="Y7" s="14"/>
      <x:c r="Z7" s="14"/>
    </x:row>
    <x:row r="8">
      <x:c r="A8" s="14" t="str">
        <x:v>KE-01-006</x:v>
      </x:c>
      <x:c r="B8" s="14" t="str">
        <x:v>KE</x:v>
      </x:c>
      <x:c r="C8" s="14" t="str">
        <x:v>01006</x:v>
      </x:c>
      <x:c r="D8" s="14" t="str">
        <x:v>Bread, Sweet</x:v>
      </x:c>
      <x:c r="E8" s="14" t="str">
        <x:v>Sweet bread</x:v>
      </x:c>
      <x:c r="F8" s="14" t="str">
        <x:v>Cereals</x:v>
      </x:c>
      <x:c r="G8" s="14" t="str">
        <x:v>Baked</x:v>
      </x:c>
      <x:c r="H8" s="14" t="str">
        <x:v>Prepared food</x:v>
      </x:c>
      <x:c r="I8" s="14" t="n">
        <x:v>100</x:v>
      </x:c>
      <x:c r="J8" s="14" t="n">
        <x:v>368</x:v>
      </x:c>
      <x:c r="K8" s="14" t="n">
        <x:v>8.3</x:v>
      </x:c>
      <x:c r="L8" s="14" t="n">
        <x:v>14.4</x:v>
      </x:c>
      <x:c r="M8" s="14" t="n">
        <x:v>50.6</x:v>
      </x:c>
      <x:c r="N8" s="14" t="n">
        <x:v>1.5</x:v>
      </x:c>
      <x:c r="O8" s="14" t="str">
        <x:v>KFCT Table 1</x:v>
      </x:c>
      <x:c r="P8" s="14" t="str">
        <x:v>Published</x:v>
      </x:c>
      <x:c r="Q8" s="14" t="str">
        <x:v>Source-transcribed</x:v>
      </x:c>
      <x:c r="R8" s="14" t="str">
        <x:v>Kenya Food Composition Tables</x:v>
      </x:c>
      <x:c r="S8" s="14" t="n">
        <x:v>2018</x:v>
      </x:c>
      <x:c r="T8" s="14" t="str">
        <x:v>content (1)(1).pdf</x:v>
      </x:c>
      <x:c r="U8" s="14"/>
      <x:c r="V8" s="14"/>
      <x:c r="W8" s="14"/>
      <x:c r="X8" s="14"/>
      <x:c r="Y8" s="14"/>
      <x:c r="Z8" s="14"/>
    </x:row>
    <x:row r="9">
      <x:c r="A9" s="14" t="str">
        <x:v>KE-01-007</x:v>
      </x:c>
      <x:c r="B9" s="14" t="str">
        <x:v>KE</x:v>
      </x:c>
      <x:c r="C9" s="14" t="str">
        <x:v>01007</x:v>
      </x:c>
      <x:c r="D9" s="14" t="str">
        <x:v>Bread, White</x:v>
      </x:c>
      <x:c r="E9" s="14" t="str">
        <x:v>White bread</x:v>
      </x:c>
      <x:c r="F9" s="14" t="str">
        <x:v>Cereals</x:v>
      </x:c>
      <x:c r="G9" s="14" t="str">
        <x:v>Baked</x:v>
      </x:c>
      <x:c r="H9" s="14" t="str">
        <x:v>Prepared food</x:v>
      </x:c>
      <x:c r="I9" s="14" t="n">
        <x:v>100</x:v>
      </x:c>
      <x:c r="J9" s="14" t="n">
        <x:v>249</x:v>
      </x:c>
      <x:c r="K9" s="14" t="n">
        <x:v>7.7</x:v>
      </x:c>
      <x:c r="L9" s="14" t="n">
        <x:v>1.9</x:v>
      </x:c>
      <x:c r="M9" s="14" t="n">
        <x:v>48.8</x:v>
      </x:c>
      <x:c r="N9" s="14" t="n">
        <x:v>3.1</x:v>
      </x:c>
      <x:c r="O9" s="14" t="str">
        <x:v>KFCT Table 1</x:v>
      </x:c>
      <x:c r="P9" s="14" t="str">
        <x:v>Published</x:v>
      </x:c>
      <x:c r="Q9" s="14" t="str">
        <x:v>Source-transcribed</x:v>
      </x:c>
      <x:c r="R9" s="14" t="str">
        <x:v>Kenya Food Composition Tables</x:v>
      </x:c>
      <x:c r="S9" s="14" t="n">
        <x:v>2018</x:v>
      </x:c>
      <x:c r="T9" s="14" t="str">
        <x:v>content (1)(1).pdf</x:v>
      </x:c>
      <x:c r="U9" s="14"/>
      <x:c r="V9" s="14"/>
      <x:c r="W9" s="14"/>
      <x:c r="X9" s="14"/>
      <x:c r="Y9" s="14"/>
      <x:c r="Z9" s="14"/>
    </x:row>
    <x:row r="10">
      <x:c r="A10" s="14" t="str">
        <x:v>KE-01-008</x:v>
      </x:c>
      <x:c r="B10" s="14" t="str">
        <x:v>KE</x:v>
      </x:c>
      <x:c r="C10" s="14" t="str">
        <x:v>01008</x:v>
      </x:c>
      <x:c r="D10" s="14" t="str">
        <x:v>Breakfast cereal, flakes of corn, fortified</x:v>
      </x:c>
      <x:c r="E10" s="14" t="str">
        <x:v>Fortified cornflakes</x:v>
      </x:c>
      <x:c r="F10" s="14" t="str">
        <x:v>Cereals</x:v>
      </x:c>
      <x:c r="G10" s="14" t="str">
        <x:v>Fortified/dry</x:v>
      </x:c>
      <x:c r="H10" s="14" t="str">
        <x:v>Prepared food</x:v>
      </x:c>
      <x:c r="I10" s="14" t="n">
        <x:v>100</x:v>
      </x:c>
      <x:c r="J10" s="14" t="n">
        <x:v>372</x:v>
      </x:c>
      <x:c r="K10" s="14" t="n">
        <x:v>7.5</x:v>
      </x:c>
      <x:c r="L10" s="14" t="n">
        <x:v>0.7</x:v>
      </x:c>
      <x:c r="M10" s="14" t="n">
        <x:v>82.6</x:v>
      </x:c>
      <x:c r="N10" s="14" t="n">
        <x:v>2.95</x:v>
      </x:c>
      <x:c r="O10" s="14" t="str">
        <x:v>KFCT Table 1</x:v>
      </x:c>
      <x:c r="P10" s="14" t="str">
        <x:v>Published</x:v>
      </x:c>
      <x:c r="Q10" s="14" t="str">
        <x:v>Source-transcribed</x:v>
      </x:c>
      <x:c r="R10" s="14" t="str">
        <x:v>Kenya Food Composition Tables</x:v>
      </x:c>
      <x:c r="S10" s="14" t="n">
        <x:v>2018</x:v>
      </x:c>
      <x:c r="T10" s="14" t="str">
        <x:v>content (1)(1).pdf</x:v>
      </x:c>
      <x:c r="U10" s="14"/>
      <x:c r="V10" s="14"/>
      <x:c r="W10" s="14"/>
      <x:c r="X10" s="14"/>
      <x:c r="Y10" s="14"/>
      <x:c r="Z10" s="14"/>
    </x:row>
    <x:row r="11">
      <x:c r="A11" s="14" t="str">
        <x:v>KE-01-009</x:v>
      </x:c>
      <x:c r="B11" s="14" t="str">
        <x:v>KE</x:v>
      </x:c>
      <x:c r="C11" s="14" t="str">
        <x:v>01009</x:v>
      </x:c>
      <x:c r="D11" s="14" t="str">
        <x:v>Breakfast cereal, flakes of corn</x:v>
      </x:c>
      <x:c r="E11" s="14" t="str">
        <x:v>Cornflakes</x:v>
      </x:c>
      <x:c r="F11" s="14" t="str">
        <x:v>Cereals</x:v>
      </x:c>
      <x:c r="G11" s="14" t="str">
        <x:v>Dry</x:v>
      </x:c>
      <x:c r="H11" s="14" t="str">
        <x:v>Prepared food</x:v>
      </x:c>
      <x:c r="I11" s="14" t="n">
        <x:v>100</x:v>
      </x:c>
      <x:c r="J11" s="14" t="n">
        <x:v>373</x:v>
      </x:c>
      <x:c r="K11" s="14" t="n">
        <x:v>7.5</x:v>
      </x:c>
      <x:c r="L11" s="14" t="n">
        <x:v>0.7</x:v>
      </x:c>
      <x:c r="M11" s="14" t="n">
        <x:v>83</x:v>
      </x:c>
      <x:c r="N11" s="14" t="n">
        <x:v>2.6</x:v>
      </x:c>
      <x:c r="O11" s="14" t="str">
        <x:v>KFCT Table 1</x:v>
      </x:c>
      <x:c r="P11" s="14" t="str">
        <x:v>Published</x:v>
      </x:c>
      <x:c r="Q11" s="14" t="str">
        <x:v>Source-transcribed</x:v>
      </x:c>
      <x:c r="R11" s="14" t="str">
        <x:v>Kenya Food Composition Tables</x:v>
      </x:c>
      <x:c r="S11" s="14" t="n">
        <x:v>2018</x:v>
      </x:c>
      <x:c r="T11" s="14" t="str">
        <x:v>content (1)(1).pdf</x:v>
      </x:c>
      <x:c r="U11" s="14"/>
      <x:c r="V11" s="14"/>
      <x:c r="W11" s="14"/>
      <x:c r="X11" s="14"/>
      <x:c r="Y11" s="14"/>
      <x:c r="Z11" s="14"/>
    </x:row>
    <x:row r="12">
      <x:c r="A12" s="14" t="str">
        <x:v>KE-01-010</x:v>
      </x:c>
      <x:c r="B12" s="14" t="str">
        <x:v>KE</x:v>
      </x:c>
      <x:c r="C12" s="14" t="str">
        <x:v>01010</x:v>
      </x:c>
      <x:c r="D12" s="14" t="str">
        <x:v>Breakfast cereal, wheat biscuits, Weetabix type</x:v>
      </x:c>
      <x:c r="E12" s="14" t="str">
        <x:v>Wheat breakfast biscuits</x:v>
      </x:c>
      <x:c r="F12" s="14" t="str">
        <x:v>Cereals</x:v>
      </x:c>
      <x:c r="G12" s="14" t="str">
        <x:v>Dry</x:v>
      </x:c>
      <x:c r="H12" s="14" t="str">
        <x:v>Prepared food</x:v>
      </x:c>
      <x:c r="I12" s="14" t="n">
        <x:v>100</x:v>
      </x:c>
      <x:c r="J12" s="14" t="n">
        <x:v>366</x:v>
      </x:c>
      <x:c r="K12" s="14" t="n">
        <x:v>11.5</x:v>
      </x:c>
      <x:c r="L12" s="14" t="n">
        <x:v>1.9</x:v>
      </x:c>
      <x:c r="M12" s="14" t="n">
        <x:v>70.7</x:v>
      </x:c>
      <x:c r="N12" s="14" t="n">
        <x:v>9.9</x:v>
      </x:c>
      <x:c r="O12" s="14" t="str">
        <x:v>KFCT Table 1</x:v>
      </x:c>
      <x:c r="P12" s="14" t="str">
        <x:v>Published</x:v>
      </x:c>
      <x:c r="Q12" s="14" t="str">
        <x:v>Source-transcribed</x:v>
      </x:c>
      <x:c r="R12" s="14" t="str">
        <x:v>Kenya Food Composition Tables</x:v>
      </x:c>
      <x:c r="S12" s="14" t="n">
        <x:v>2018</x:v>
      </x:c>
      <x:c r="T12" s="14" t="str">
        <x:v>content (1)(1).pdf</x:v>
      </x:c>
      <x:c r="U12" s="14"/>
      <x:c r="V12" s="14"/>
      <x:c r="W12" s="14"/>
      <x:c r="X12" s="14"/>
      <x:c r="Y12" s="14"/>
      <x:c r="Z12" s="14"/>
    </x:row>
    <x:row r="13">
      <x:c r="A13" s="14" t="str">
        <x:v>KE-01-011</x:v>
      </x:c>
      <x:c r="B13" s="14" t="str">
        <x:v>KE</x:v>
      </x:c>
      <x:c r="C13" s="14" t="str">
        <x:v>01011</x:v>
      </x:c>
      <x:c r="D13" s="14" t="str">
        <x:v>Buns, Currant</x:v>
      </x:c>
      <x:c r="E13" s="14" t="str">
        <x:v>Currant bun</x:v>
      </x:c>
      <x:c r="F13" s="14" t="str">
        <x:v>Cereals</x:v>
      </x:c>
      <x:c r="G13" s="14" t="str">
        <x:v>Baked</x:v>
      </x:c>
      <x:c r="H13" s="14" t="str">
        <x:v>Prepared food</x:v>
      </x:c>
      <x:c r="I13" s="14" t="n">
        <x:v>100</x:v>
      </x:c>
      <x:c r="J13" s="14" t="n">
        <x:v>306</x:v>
      </x:c>
      <x:c r="K13" s="14" t="n">
        <x:v>7</x:v>
      </x:c>
      <x:c r="L13" s="14" t="n">
        <x:v>6.8</x:v>
      </x:c>
      <x:c r="M13" s="14" t="n">
        <x:v>52.8</x:v>
      </x:c>
      <x:c r="N13" s="14" t="n">
        <x:v>2.9</x:v>
      </x:c>
      <x:c r="O13" s="14" t="str">
        <x:v>KFCT Table 1</x:v>
      </x:c>
      <x:c r="P13" s="14" t="str">
        <x:v>Published</x:v>
      </x:c>
      <x:c r="Q13" s="14" t="str">
        <x:v>Source-transcribed</x:v>
      </x:c>
      <x:c r="R13" s="14" t="str">
        <x:v>Kenya Food Composition Tables</x:v>
      </x:c>
      <x:c r="S13" s="14" t="n">
        <x:v>2018</x:v>
      </x:c>
      <x:c r="T13" s="14" t="str">
        <x:v>content (1)(1).pdf</x:v>
      </x:c>
      <x:c r="U13" s="14"/>
      <x:c r="V13" s="14"/>
      <x:c r="W13" s="14"/>
      <x:c r="X13" s="14"/>
      <x:c r="Y13" s="14"/>
      <x:c r="Z13" s="14"/>
    </x:row>
    <x:row r="14">
      <x:c r="A14" s="14" t="str">
        <x:v>KE-01-012</x:v>
      </x:c>
      <x:c r="B14" s="14" t="str">
        <x:v>KE</x:v>
      </x:c>
      <x:c r="C14" s="14" t="str">
        <x:v>01012</x:v>
      </x:c>
      <x:c r="D14" s="14" t="str">
        <x:v>Cake or cupcake, plain butter cake, commercial</x:v>
      </x:c>
      <x:c r="E14" s="14" t="str">
        <x:v>Plain butter cake</x:v>
      </x:c>
      <x:c r="F14" s="14" t="str">
        <x:v>Cereals</x:v>
      </x:c>
      <x:c r="G14" s="14" t="str">
        <x:v>Baked</x:v>
      </x:c>
      <x:c r="H14" s="14" t="str">
        <x:v>Prepared food</x:v>
      </x:c>
      <x:c r="I14" s="14" t="n">
        <x:v>100</x:v>
      </x:c>
      <x:c r="J14" s="14" t="n">
        <x:v>363</x:v>
      </x:c>
      <x:c r="K14" s="14" t="n">
        <x:v>7.1</x:v>
      </x:c>
      <x:c r="L14" s="14" t="n">
        <x:v>15.3</x:v>
      </x:c>
      <x:c r="M14" s="14" t="n">
        <x:v>48.8</x:v>
      </x:c>
      <x:c r="N14" s="14" t="n">
        <x:v>1.1</x:v>
      </x:c>
      <x:c r="O14" s="14" t="str">
        <x:v>KFCT Table 1</x:v>
      </x:c>
      <x:c r="P14" s="14" t="str">
        <x:v>Published</x:v>
      </x:c>
      <x:c r="Q14" s="14" t="str">
        <x:v>Source-transcribed</x:v>
      </x:c>
      <x:c r="R14" s="14" t="str">
        <x:v>Kenya Food Composition Tables</x:v>
      </x:c>
      <x:c r="S14" s="14" t="n">
        <x:v>2018</x:v>
      </x:c>
      <x:c r="T14" s="14" t="str">
        <x:v>content (1)(1).pdf</x:v>
      </x:c>
      <x:c r="U14" s="14"/>
      <x:c r="V14" s="14"/>
      <x:c r="W14" s="14"/>
      <x:c r="X14" s="14"/>
      <x:c r="Y14" s="14"/>
      <x:c r="Z14" s="14"/>
    </x:row>
    <x:row r="15">
      <x:c r="A15" s="14" t="str">
        <x:v>KE-01-018</x:v>
      </x:c>
      <x:c r="B15" s="14" t="str">
        <x:v>KE</x:v>
      </x:c>
      <x:c r="C15" s="14" t="str">
        <x:v>01018</x:v>
      </x:c>
      <x:c r="D15" s="14" t="str">
        <x:v>Maize, grain, white variety, whole, dry, raw</x:v>
      </x:c>
      <x:c r="E15" s="14" t="str">
        <x:v>White maize grain</x:v>
      </x:c>
      <x:c r="F15" s="14" t="str">
        <x:v>Cereals</x:v>
      </x:c>
      <x:c r="G15" s="14" t="str">
        <x:v>Raw/dry</x:v>
      </x:c>
      <x:c r="H15" s="14" t="str">
        <x:v>Ingredient</x:v>
      </x:c>
      <x:c r="I15" s="14" t="n">
        <x:v>100</x:v>
      </x:c>
      <x:c r="J15" s="14" t="n">
        <x:v>345</x:v>
      </x:c>
      <x:c r="K15" s="14" t="n">
        <x:v>7.94</x:v>
      </x:c>
      <x:c r="L15" s="14" t="n">
        <x:v>4.5</x:v>
      </x:c>
      <x:c r="M15" s="14" t="n">
        <x:v>63.4</x:v>
      </x:c>
      <x:c r="N15" s="14" t="n">
        <x:v>9.4</x:v>
      </x:c>
      <x:c r="O15" s="14" t="str">
        <x:v>KFCT Table 1</x:v>
      </x:c>
      <x:c r="P15" s="14" t="str">
        <x:v>Published</x:v>
      </x:c>
      <x:c r="Q15" s="14" t="str">
        <x:v>Source-transcribed</x:v>
      </x:c>
      <x:c r="R15" s="14" t="str">
        <x:v>Kenya Food Composition Tables</x:v>
      </x:c>
      <x:c r="S15" s="14" t="n">
        <x:v>2018</x:v>
      </x:c>
      <x:c r="T15" s="14" t="str">
        <x:v>content (1)(1).pdf</x:v>
      </x:c>
      <x:c r="U15" s="14"/>
      <x:c r="V15" s="14"/>
      <x:c r="W15" s="14"/>
      <x:c r="X15" s="14"/>
      <x:c r="Y15" s="14"/>
      <x:c r="Z15" s="14"/>
    </x:row>
    <x:row r="16">
      <x:c r="A16" s="14" t="str">
        <x:v>KE-01-047</x:v>
      </x:c>
      <x:c r="B16" s="14" t="str">
        <x:v>KE</x:v>
      </x:c>
      <x:c r="C16" s="14" t="str">
        <x:v>01047</x:v>
      </x:c>
      <x:c r="D16" s="14" t="str">
        <x:v>Maize, grain, white variety, whole, dry, boiled, drained (without salt)</x:v>
      </x:c>
      <x:c r="E16" s="14" t="str">
        <x:v>White maize grain, boiled</x:v>
      </x:c>
      <x:c r="F16" s="14" t="str">
        <x:v>Cereals</x:v>
      </x:c>
      <x:c r="G16" s="14" t="str">
        <x:v>Boiled/drained</x:v>
      </x:c>
      <x:c r="H16" s="14" t="str">
        <x:v>Ingredient</x:v>
      </x:c>
      <x:c r="I16" s="14" t="n">
        <x:v>100</x:v>
      </x:c>
      <x:c r="J16" s="14" t="n">
        <x:v>111</x:v>
      </x:c>
      <x:c r="K16" s="14" t="n">
        <x:v>2.6</x:v>
      </x:c>
      <x:c r="L16" s="14" t="n">
        <x:v>1.5</x:v>
      </x:c>
      <x:c r="M16" s="14" t="n">
        <x:v>20.5</x:v>
      </x:c>
      <x:c r="N16" s="14" t="n">
        <x:v>3</x:v>
      </x:c>
      <x:c r="O16" s="14" t="str">
        <x:v>KFCT Table 1</x:v>
      </x:c>
      <x:c r="P16" s="14" t="str">
        <x:v>Published</x:v>
      </x:c>
      <x:c r="Q16" s="14" t="str">
        <x:v>Source-transcribed</x:v>
      </x:c>
      <x:c r="R16" s="14" t="str">
        <x:v>Kenya Food Composition Tables</x:v>
      </x:c>
      <x:c r="S16" s="14" t="n">
        <x:v>2018</x:v>
      </x:c>
      <x:c r="T16" s="14" t="str">
        <x:v>content (1)(1).pdf</x:v>
      </x:c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2.3800001144409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6.130000114440918" hidden="0" customWidth="1"/>
    <x:col min="10" max="10" width="9.630000114440918" hidden="0" customWidth="1"/>
    <x:col min="11" max="11" width="7.880000114440918" hidden="0" customWidth="1"/>
    <x:col min="12" max="12" width="4.380000114440918" hidden="0" customWidth="1"/>
    <x:col min="13" max="13" width="12.380000114440918" hidden="0" customWidth="1"/>
    <x:col min="14" max="14" width="5.880000114440918" hidden="0" customWidth="1"/>
    <x:col min="15" max="15" width="24" hidden="0" customWidth="1"/>
    <x:col min="16" max="16" width="10.130000114440918" hidden="0" customWidth="1"/>
    <x:col min="17" max="17" width="24" hidden="0" customWidth="1"/>
    <x:col min="18" max="18" width="24" hidden="0" customWidth="1"/>
    <x:col min="19" max="19" width="9.75" hidden="0" customWidth="1"/>
    <x:col min="20" max="20" width="24" hidden="0" customWidth="1"/>
  </x:cols>
  <x:sheetData>
    <x:row r="1">
      <x:c r="A1" s="42" t="str">
        <x:v>pikabora_food_id</x:v>
      </x:c>
      <x:c r="B1" s="42" t="str">
        <x:v>country_code</x:v>
      </x:c>
      <x:c r="C1" s="42" t="str">
        <x:v>source_food_id</x:v>
      </x:c>
      <x:c r="D1" s="42" t="str">
        <x:v>source_food_name</x:v>
      </x:c>
      <x:c r="E1" s="42" t="str">
        <x:v>canonical_name</x:v>
      </x:c>
      <x:c r="F1" s="42" t="str">
        <x:v>food_group</x:v>
      </x:c>
      <x:c r="G1" s="42" t="str">
        <x:v>preparation_state</x:v>
      </x:c>
      <x:c r="H1" s="42" t="str">
        <x:v>recipe_or_ingredient</x:v>
      </x:c>
      <x:c r="I1" s="42" t="str">
        <x:v>basis_g</x:v>
      </x:c>
      <x:c r="J1" s="42" t="str">
        <x:v>energy_kcal</x:v>
      </x:c>
      <x:c r="K1" s="42" t="str">
        <x:v>protein_g</x:v>
      </x:c>
      <x:c r="L1" s="42" t="str">
        <x:v>fat_g</x:v>
      </x:c>
      <x:c r="M1" s="42" t="str">
        <x:v>carbohydrate_g</x:v>
      </x:c>
      <x:c r="N1" s="42" t="str">
        <x:v>fibre_g</x:v>
      </x:c>
      <x:c r="O1" s="42" t="str">
        <x:v>source_refs</x:v>
      </x:c>
      <x:c r="P1" s="42" t="str">
        <x:v>value_status</x:v>
      </x:c>
      <x:c r="Q1" s="42" t="str">
        <x:v>data_quality_flag</x:v>
      </x:c>
      <x:c r="R1" s="42" t="str">
        <x:v>source_title</x:v>
      </x:c>
      <x:c r="S1" s="42" t="str">
        <x:v>source_year</x:v>
      </x:c>
      <x:c r="T1" s="42" t="str">
        <x:v>source_url_or_file</x:v>
      </x:c>
      <x:c r="U1" s="42"/>
      <x:c r="V1" s="42"/>
      <x:c r="W1" s="42"/>
      <x:c r="X1" s="42"/>
      <x:c r="Y1" s="42"/>
      <x:c r="Z1" s="42"/>
    </x:row>
    <x:row r="2">
      <x:c r="A2" s="14" t="str">
        <x:v>SN-01-086</x:v>
      </x:c>
      <x:c r="B2" s="14" t="str">
        <x:v>SN</x:v>
      </x:c>
      <x:c r="C2" s="14" t="str">
        <x:v>01_086</x:v>
      </x:c>
      <x:c r="D2" s="14" t="str">
        <x:v>Wheat flour, white, fortified with iron, zinc, folic acid and vitamins B1, B2, B3, B12 (Côte d’Ivoire, Mali, Niger, Senegal)</x:v>
      </x:c>
      <x:c r="E2" s="14" t="str">
        <x:v>Fortified white wheat flour</x:v>
      </x:c>
      <x:c r="F2" s="14" t="str">
        <x:v>Cereals</x:v>
      </x:c>
      <x:c r="G2" s="14" t="str">
        <x:v>Milled/fortified</x:v>
      </x:c>
      <x:c r="H2" s="14" t="str">
        <x:v>Ingredient</x:v>
      </x:c>
      <x:c r="I2" s="14" t="n">
        <x:v>100</x:v>
      </x:c>
      <x:c r="J2" s="14" t="n">
        <x:v>352</x:v>
      </x:c>
      <x:c r="K2" s="14" t="n">
        <x:v>10.4</x:v>
      </x:c>
      <x:c r="L2" s="14" t="n">
        <x:v>1.8</x:v>
      </x:c>
      <x:c r="M2" s="14" t="n">
        <x:v>72.2</x:v>
      </x:c>
      <x:c r="N2" s="14" t="n">
        <x:v>2.8</x:v>
      </x:c>
      <x:c r="O2" s="14" t="str">
        <x:v>WAFCT 2019 01_086</x:v>
      </x:c>
      <x:c r="P2" s="14" t="str">
        <x:v>Published</x:v>
      </x:c>
      <x:c r="Q2" s="14" t="str">
        <x:v>Regional-source; Senegal explicitly listed</x:v>
      </x:c>
      <x:c r="R2" s="14" t="str">
        <x:v>FAO/INFOODS Food Composition Table for Western Africa</x:v>
      </x:c>
      <x:c r="S2" s="14" t="n">
        <x:v>2019</x:v>
      </x:c>
      <x:c r="T2" s="14" t="str">
        <x:v>content.pdf</x:v>
      </x:c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10.880000114440918" hidden="0" customWidth="1"/>
    <x:col min="3" max="3" width="3.6300001144409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15" max="15" width="24" hidden="0" customWidth="1"/>
    <x:col min="17" max="17" width="24" hidden="0" customWidth="1"/>
    <x:col min="18" max="18" width="24" hidden="0" customWidth="1"/>
    <x:col min="20" max="20" width="24" hidden="0" customWidth="1"/>
  </x:cols>
  <x:sheetData>
    <x:row r="1">
      <x:c r="A1" s="42" t="str">
        <x:v>canonical_field</x:v>
      </x:c>
      <x:c r="B1" s="42" t="str">
        <x:v>INFOODS_tag</x:v>
      </x:c>
      <x:c r="C1" s="42" t="str">
        <x:v>unit</x:v>
      </x:c>
      <x:c r="D1" s="42" t="str">
        <x:v>basis</x:v>
      </x:c>
      <x:c r="E1" s="42" t="str">
        <x:v>priority_for_MVP</x:v>
      </x:c>
      <x:c r="F1" s="42" t="str">
        <x:v>notes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14" t="str">
        <x:v>energy_kcal</x:v>
      </x:c>
      <x:c r="B2" s="14" t="str">
        <x:v>ENERC</x:v>
      </x:c>
      <x:c r="C2" s="14" t="str">
        <x:v>kcal</x:v>
      </x:c>
      <x:c r="D2" s="14" t="str">
        <x:v>per 100 g edible portion</x:v>
      </x:c>
      <x:c r="E2" s="14" t="str">
        <x:v>Yes</x:v>
      </x:c>
      <x:c r="F2" s="14" t="str">
        <x:v>Energy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protein_g</x:v>
      </x:c>
      <x:c r="B3" s="14" t="str">
        <x:v>PROTCNT</x:v>
      </x:c>
      <x:c r="C3" s="14" t="str">
        <x:v>g</x:v>
      </x:c>
      <x:c r="D3" s="14" t="str">
        <x:v>per 100 g edible portion</x:v>
      </x:c>
      <x:c r="E3" s="14" t="str">
        <x:v>Yes</x:v>
      </x:c>
      <x:c r="F3" s="14" t="str">
        <x:v>Total protein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fat_g</x:v>
      </x:c>
      <x:c r="B4" s="14" t="str">
        <x:v>FAT / FATCE</x:v>
      </x:c>
      <x:c r="C4" s="14" t="str">
        <x:v>g</x:v>
      </x:c>
      <x:c r="D4" s="14" t="str">
        <x:v>per 100 g edible portion</x:v>
      </x:c>
      <x:c r="E4" s="14" t="str">
        <x:v>Yes</x:v>
      </x:c>
      <x:c r="F4" s="14" t="str">
        <x:v>Source-specific fat definition retained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carbohydrate_g</x:v>
      </x:c>
      <x:c r="B5" s="14" t="str">
        <x:v>CHOAVLDF</x:v>
      </x:c>
      <x:c r="C5" s="14" t="str">
        <x:v>g</x:v>
      </x:c>
      <x:c r="D5" s="14" t="str">
        <x:v>per 100 g edible portion</x:v>
      </x:c>
      <x:c r="E5" s="14" t="str">
        <x:v>Yes</x:v>
      </x:c>
      <x:c r="F5" s="14" t="str">
        <x:v>Available carbohydrate by difference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fibre_g</x:v>
      </x:c>
      <x:c r="B6" s="14" t="str">
        <x:v>FIBTG</x:v>
      </x:c>
      <x:c r="C6" s="14" t="str">
        <x:v>g</x:v>
      </x:c>
      <x:c r="D6" s="14" t="str">
        <x:v>per 100 g edible portion</x:v>
      </x:c>
      <x:c r="E6" s="14" t="str">
        <x:v>Yes</x:v>
      </x:c>
      <x:c r="F6" s="14" t="str">
        <x:v>Total dietary fibre; do not equate crude fibre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calcium_mg</x:v>
      </x:c>
      <x:c r="B7" s="14" t="str">
        <x:v>CA</x:v>
      </x:c>
      <x:c r="C7" s="14" t="str">
        <x:v>mg</x:v>
      </x:c>
      <x:c r="D7" s="14" t="str">
        <x:v>per 100 g edible portion</x:v>
      </x:c>
      <x:c r="E7" s="14" t="str">
        <x:v>Yes</x:v>
      </x:c>
      <x:c r="F7" s="14" t="str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iron_mg</x:v>
      </x:c>
      <x:c r="B8" s="14" t="str">
        <x:v>FE</x:v>
      </x:c>
      <x:c r="C8" s="14" t="str">
        <x:v>mg</x:v>
      </x:c>
      <x:c r="D8" s="14" t="str">
        <x:v>per 100 g edible portion</x:v>
      </x:c>
      <x:c r="E8" s="14" t="str">
        <x:v>Yes</x:v>
      </x:c>
      <x:c r="F8" s="14" t="str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magnesium_mg</x:v>
      </x:c>
      <x:c r="B9" s="14" t="str">
        <x:v>MG</x:v>
      </x:c>
      <x:c r="C9" s="14" t="str">
        <x:v>mg</x:v>
      </x:c>
      <x:c r="D9" s="14" t="str">
        <x:v>per 100 g edible portion</x:v>
      </x:c>
      <x:c r="E9" s="14" t="str">
        <x:v>Yes</x:v>
      </x:c>
      <x:c r="F9" s="14" t="str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phosphorus_mg</x:v>
      </x:c>
      <x:c r="B10" s="14" t="str">
        <x:v>P</x:v>
      </x:c>
      <x:c r="C10" s="14" t="str">
        <x:v>mg</x:v>
      </x:c>
      <x:c r="D10" s="14" t="str">
        <x:v>per 100 g edible portion</x:v>
      </x:c>
      <x:c r="E10" s="14" t="str">
        <x:v>No</x:v>
      </x:c>
      <x:c r="F10" s="14" t="str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potassium_mg</x:v>
      </x:c>
      <x:c r="B11" s="14" t="str">
        <x:v>K</x:v>
      </x:c>
      <x:c r="C11" s="14" t="str">
        <x:v>mg</x:v>
      </x:c>
      <x:c r="D11" s="14" t="str">
        <x:v>per 100 g edible portion</x:v>
      </x:c>
      <x:c r="E11" s="14" t="str">
        <x:v>No</x:v>
      </x:c>
      <x:c r="F11" s="14" t="str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sodium_mg</x:v>
      </x:c>
      <x:c r="B12" s="14" t="str">
        <x:v>NA</x:v>
      </x:c>
      <x:c r="C12" s="14" t="str">
        <x:v>mg</x:v>
      </x:c>
      <x:c r="D12" s="14" t="str">
        <x:v>per 100 g edible portion</x:v>
      </x:c>
      <x:c r="E12" s="14" t="str">
        <x:v>No</x:v>
      </x:c>
      <x:c r="F12" s="14" t="str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zinc_mg</x:v>
      </x:c>
      <x:c r="B13" s="14" t="str">
        <x:v>ZN</x:v>
      </x:c>
      <x:c r="C13" s="14" t="str">
        <x:v>mg</x:v>
      </x:c>
      <x:c r="D13" s="14" t="str">
        <x:v>per 100 g edible portion</x:v>
      </x:c>
      <x:c r="E13" s="14" t="str">
        <x:v>Yes</x:v>
      </x:c>
      <x:c r="F13" s="14" t="str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vitamin_a_rae_mcg</x:v>
      </x:c>
      <x:c r="B14" s="14" t="str">
        <x:v>VITA_RAE</x:v>
      </x:c>
      <x:c r="C14" s="14" t="str">
        <x:v>mcg</x:v>
      </x:c>
      <x:c r="D14" s="14" t="str">
        <x:v>per 100 g edible portion</x:v>
      </x:c>
      <x:c r="E14" s="14" t="str">
        <x:v>Yes</x:v>
      </x:c>
      <x:c r="F14" s="14" t="str">
        <x:v>Retinol activity equivalents</x:v>
      </x:c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str">
        <x:v>folate_mcg</x:v>
      </x:c>
      <x:c r="B15" s="14" t="str">
        <x:v>FOL / FOLDFE</x:v>
      </x:c>
      <x:c r="C15" s="14" t="str">
        <x:v>mcg</x:v>
      </x:c>
      <x:c r="D15" s="14" t="str">
        <x:v>per 100 g edible portion</x:v>
      </x:c>
      <x:c r="E15" s="14" t="str">
        <x:v>Yes</x:v>
      </x:c>
      <x:c r="F15" s="14" t="str">
        <x:v>Keep food folate/DFE distinction in source layer</x:v>
      </x:c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tr">
        <x:v>vitamin_b12_mcg</x:v>
      </x:c>
      <x:c r="B16" s="14" t="str">
        <x:v>VITB12</x:v>
      </x:c>
      <x:c r="C16" s="14" t="str">
        <x:v>mcg</x:v>
      </x:c>
      <x:c r="D16" s="14" t="str">
        <x:v>per 100 g edible portion</x:v>
      </x:c>
      <x:c r="E16" s="14" t="str">
        <x:v>Yes</x:v>
      </x:c>
      <x:c r="F16" s="14" t="str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 t="str">
        <x:v>vitamin_c_mg</x:v>
      </x:c>
      <x:c r="B17" s="14" t="str">
        <x:v>VITC</x:v>
      </x:c>
      <x:c r="C17" s="14" t="str">
        <x:v>mg</x:v>
      </x:c>
      <x:c r="D17" s="14" t="str">
        <x:v>per 100 g edible portion</x:v>
      </x:c>
      <x:c r="E17" s="14" t="str">
        <x:v>Yes</x:v>
      </x:c>
      <x:c r="F17" s="14" t="str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7.5" hidden="0" customWidth="1"/>
    <x:col min="3" max="3" width="36.3800010681152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15" max="15" width="24" hidden="0" customWidth="1"/>
    <x:col min="17" max="17" width="24" hidden="0" customWidth="1"/>
    <x:col min="18" max="18" width="24" hidden="0" customWidth="1"/>
    <x:col min="20" max="20" width="24" hidden="0" customWidth="1"/>
  </x:cols>
  <x:sheetData>
    <x:row r="1">
      <x:c r="A1" s="42" t="str">
        <x:v>flag</x:v>
      </x:c>
      <x:c r="B1" s="42" t="str">
        <x:v>meaning</x:v>
      </x:c>
      <x:c r="C1" s="42" t="str">
        <x:v>engine_behavior</x:v>
      </x:c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14" t="str">
        <x:v>VERIFIED</x:v>
      </x:c>
      <x:c r="B2" s="14" t="str">
        <x:v>Transcribed and checked against source</x:v>
      </x:c>
      <x:c r="C2" s="14" t="str">
        <x:v>Eligible for recommendations</x:v>
      </x:c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SOURCE_TRANSCRIBED</x:v>
      </x:c>
      <x:c r="B3" s="14" t="str">
        <x:v>Directly transcribed; second-person verification pending</x:v>
      </x:c>
      <x:c r="C3" s="14" t="str">
        <x:v>Use only in development/test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LOWER_QUALITY</x:v>
      </x:c>
      <x:c r="B4" s="14" t="str">
        <x:v>Source marks value lower quality / bracketed</x:v>
      </x:c>
      <x:c r="C4" s="14" t="str">
        <x:v>May use with caution; never imply precision</x:v>
      </x:c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TRACE</x:v>
      </x:c>
      <x:c r="B5" s="14" t="str">
        <x:v>Source reports trace amount</x:v>
      </x:c>
      <x:c r="C5" s="14" t="str">
        <x:v>Preserve as trace; do not convert silently to zero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MISSING</x:v>
      </x:c>
      <x:c r="B6" s="14" t="str">
        <x:v>No source value</x:v>
      </x:c>
      <x:c r="C6" s="14" t="str">
        <x:v>Keep null; never convert to zero</x:v>
      </x:c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CALCULATED</x:v>
      </x:c>
      <x:c r="B7" s="14" t="str">
        <x:v>Value calculated by source or Pikabora approved method</x:v>
      </x:c>
      <x:c r="C7" s="14" t="str">
        <x:v>Retain calculation provenance</x:v>
      </x:c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BORROWED</x:v>
      </x:c>
      <x:c r="B8" s="14" t="str">
        <x:v>Source value borrowed/imputed from another database</x:v>
      </x:c>
      <x:c r="C8" s="14" t="str">
        <x:v>Retain original source/ref ID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REGIONAL_SOURCE</x:v>
      </x:c>
      <x:c r="B9" s="14" t="str">
        <x:v>Regional record applicable to country but not country-exclusive</x:v>
      </x:c>
      <x:c r="C9" s="14" t="str">
        <x:v>Do not present as nationally sampled</x:v>
      </x:c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LICENCE_REVIEW</x:v>
      </x:c>
      <x:c r="B10" s="14" t="str">
        <x:v>Commercial reuse rights need confirmation</x:v>
      </x:c>
      <x:c r="C10" s="14" t="str">
        <x:v>Block production export until cleared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>
      <x:c r="A1" s="48" t="str">
        <x:v>pikabora_food_id</x:v>
      </x:c>
      <x:c r="B1" s="48" t="str">
        <x:v>country_code</x:v>
      </x:c>
      <x:c r="C1" s="48" t="str">
        <x:v>source_food_id</x:v>
      </x:c>
      <x:c r="D1" s="48" t="str">
        <x:v>source_food_name</x:v>
      </x:c>
      <x:c r="E1" s="48" t="str">
        <x:v>local_or_french_name</x:v>
      </x:c>
      <x:c r="F1" s="48" t="str">
        <x:v>food_group</x:v>
      </x:c>
      <x:c r="G1" s="48" t="str">
        <x:v>preparation_state</x:v>
      </x:c>
      <x:c r="H1" s="48" t="str">
        <x:v>record_type</x:v>
      </x:c>
      <x:c r="I1" s="48" t="str">
        <x:v>basis_g</x:v>
      </x:c>
      <x:c r="J1" s="48" t="str">
        <x:v>energy_kcal</x:v>
      </x:c>
      <x:c r="K1" s="48" t="str">
        <x:v>protein_g</x:v>
      </x:c>
      <x:c r="L1" s="48" t="str">
        <x:v>fat_g</x:v>
      </x:c>
      <x:c r="M1" s="48" t="str">
        <x:v>available_carbohydrate_g</x:v>
      </x:c>
      <x:c r="N1" s="48" t="str">
        <x:v>fibre_g</x:v>
      </x:c>
      <x:c r="O1" s="48" t="str">
        <x:v>calcium_mg</x:v>
      </x:c>
      <x:c r="P1" s="48" t="str">
        <x:v>iron_mg</x:v>
      </x:c>
      <x:c r="Q1" s="48" t="str">
        <x:v>magnesium_mg</x:v>
      </x:c>
      <x:c r="R1" s="48" t="str">
        <x:v>zinc_mg</x:v>
      </x:c>
      <x:c r="S1" s="48" t="str">
        <x:v>vitamin_a_rae_mcg</x:v>
      </x:c>
      <x:c r="T1" s="48" t="str">
        <x:v>folate_mcg</x:v>
      </x:c>
      <x:c r="U1" s="48" t="str">
        <x:v>vitamin_b12_mcg</x:v>
      </x:c>
      <x:c r="V1" s="48" t="str">
        <x:v>vitamin_c_mg</x:v>
      </x:c>
      <x:c r="W1" s="48" t="str">
        <x:v>source_scope</x:v>
      </x:c>
      <x:c r="X1" s="48" t="str">
        <x:v>source_title</x:v>
      </x:c>
      <x:c r="Y1" s="48" t="str">
        <x:v>source_year</x:v>
      </x:c>
      <x:c r="Z1" s="48" t="str">
        <x:v>source_file</x:v>
      </x:c>
      <x:c r="AA1" s="48" t="str">
        <x:v>value_status</x:v>
      </x:c>
      <x:c r="AB1" s="48" t="str">
        <x:v>recommendation_readiness</x:v>
      </x:c>
    </x:row>
    <x:row r="2">
      <x:c r="A2" s="14" t="str">
        <x:v>KE-04066</x:v>
      </x:c>
      <x:c r="B2" s="14" t="str">
        <x:v>KE</x:v>
      </x:c>
      <x:c r="C2" s="14" t="str">
        <x:v>04066</x:v>
      </x:c>
      <x:c r="D2" s="14" t="str">
        <x:v>Cowpea, leaves, picked, boiled, drained (without salt)</x:v>
      </x:c>
      <x:c r="E2" s="14"/>
      <x:c r="F2" s="14" t="str">
        <x:v>Vegetables</x:v>
      </x:c>
      <x:c r="G2" s="14" t="str">
        <x:v>Boiled/drained</x:v>
      </x:c>
      <x:c r="H2" s="14" t="str">
        <x:v>Ingredient</x:v>
      </x:c>
      <x:c r="I2" s="14" t="n">
        <x:v>100</x:v>
      </x:c>
      <x:c r="J2" s="49" t="n">
        <x:v>28</x:v>
      </x:c>
      <x:c r="K2" s="49" t="n">
        <x:v>3.2</x:v>
      </x:c>
      <x:c r="L2" s="49" t="n">
        <x:v>0.4</x:v>
      </x:c>
      <x:c r="M2" s="49" t="n">
        <x:v>0.6</x:v>
      </x:c>
      <x:c r="N2" s="49" t="n">
        <x:v>4.7</x:v>
      </x:c>
      <x:c r="O2" s="49" t="n">
        <x:v>170</x:v>
      </x:c>
      <x:c r="P2" s="49" t="n">
        <x:v>1.9</x:v>
      </x:c>
      <x:c r="Q2" s="49" t="n">
        <x:v>27</x:v>
      </x:c>
      <x:c r="R2" s="49" t="n">
        <x:v>0.53</x:v>
      </x:c>
      <x:c r="S2" s="49" t="n">
        <x:v>0</x:v>
      </x:c>
      <x:c r="T2" s="49" t="n">
        <x:v>45</x:v>
      </x:c>
      <x:c r="U2" s="49" t="n">
        <x:v>0</x:v>
      </x:c>
      <x:c r="V2" s="49" t="n">
        <x:v>19</x:v>
      </x:c>
      <x:c r="W2" s="14" t="str">
        <x:v>National KFCT</x:v>
      </x:c>
      <x:c r="X2" s="14" t="str">
        <x:v>Kenya Food Composition Tables</x:v>
      </x:c>
      <x:c r="Y2" s="14" t="n">
        <x:v>2018</x:v>
      </x:c>
      <x:c r="Z2" s="14" t="str">
        <x:v>content (1)(1).pdf</x:v>
      </x:c>
      <x:c r="AA2" s="14" t="str">
        <x:v>PUBLISHED_SOURCE</x:v>
      </x:c>
      <x:c r="AB2" s="14" t="str">
        <x:v>READY_WITH_SOURCE_FLAGS</x:v>
      </x:c>
    </x:row>
    <x:row r="3">
      <x:c r="A3" s="14" t="str">
        <x:v>KE-04039</x:v>
      </x:c>
      <x:c r="B3" s="14" t="str">
        <x:v>KE</x:v>
      </x:c>
      <x:c r="C3" s="14" t="str">
        <x:v>04039</x:v>
      </x:c>
      <x:c r="D3" s="14" t="str">
        <x:v>Amaranth, leaves, picked, boiled, drained (without salt)</x:v>
      </x:c>
      <x:c r="E3" s="14"/>
      <x:c r="F3" s="14" t="str">
        <x:v>Vegetables</x:v>
      </x:c>
      <x:c r="G3" s="14" t="str">
        <x:v>Boiled/drained</x:v>
      </x:c>
      <x:c r="H3" s="14" t="str">
        <x:v>Ingredient</x:v>
      </x:c>
      <x:c r="I3" s="14" t="n">
        <x:v>100</x:v>
      </x:c>
      <x:c r="J3" s="49" t="n">
        <x:v>38</x:v>
      </x:c>
      <x:c r="K3" s="49" t="n">
        <x:v>3.9</x:v>
      </x:c>
      <x:c r="L3" s="49" t="n">
        <x:v>0.3</x:v>
      </x:c>
      <x:c r="M3" s="49" t="n">
        <x:v>1.3</x:v>
      </x:c>
      <x:c r="N3" s="49" t="n">
        <x:v>7.6</x:v>
      </x:c>
      <x:c r="O3" s="49" t="n">
        <x:v>280</x:v>
      </x:c>
      <x:c r="P3" s="49" t="n">
        <x:v>5.3</x:v>
      </x:c>
      <x:c r="Q3" s="49" t="n">
        <x:v>77</x:v>
      </x:c>
      <x:c r="R3" s="49" t="n">
        <x:v>0.73</x:v>
      </x:c>
      <x:c r="S3" s="49" t="n">
        <x:v>309</x:v>
      </x:c>
      <x:c r="T3" s="49" t="n">
        <x:v>34</x:v>
      </x:c>
      <x:c r="U3" s="49" t="n">
        <x:v>0</x:v>
      </x:c>
      <x:c r="V3" s="49" t="n">
        <x:v>33</x:v>
      </x:c>
      <x:c r="W3" s="14" t="str">
        <x:v>National KFCT</x:v>
      </x:c>
      <x:c r="X3" s="14" t="str">
        <x:v>Kenya Food Composition Tables</x:v>
      </x:c>
      <x:c r="Y3" s="14" t="n">
        <x:v>2018</x:v>
      </x:c>
      <x:c r="Z3" s="14" t="str">
        <x:v>content (1)(1).pdf</x:v>
      </x:c>
      <x:c r="AA3" s="14" t="str">
        <x:v>PUBLISHED_SOURCE</x:v>
      </x:c>
      <x:c r="AB3" s="14" t="str">
        <x:v>READY_WITH_SOURCE_FLAGS</x:v>
      </x:c>
    </x:row>
    <x:row r="4">
      <x:c r="A4" s="14" t="str">
        <x:v>KE-04074</x:v>
      </x:c>
      <x:c r="B4" s="14" t="str">
        <x:v>KE</x:v>
      </x:c>
      <x:c r="C4" s="14" t="str">
        <x:v>04074</x:v>
      </x:c>
      <x:c r="D4" s="14" t="str">
        <x:v>Kale (sukuma wiki), boiled, drained (without salt)</x:v>
      </x:c>
      <x:c r="E4" s="14"/>
      <x:c r="F4" s="14" t="str">
        <x:v>Vegetables</x:v>
      </x:c>
      <x:c r="G4" s="14" t="str">
        <x:v>Boiled/drained</x:v>
      </x:c>
      <x:c r="H4" s="14" t="str">
        <x:v>Ingredient</x:v>
      </x:c>
      <x:c r="I4" s="14" t="n">
        <x:v>100</x:v>
      </x:c>
      <x:c r="J4" s="49" t="n">
        <x:v>28</x:v>
      </x:c>
      <x:c r="K4" s="49" t="n">
        <x:v>2.9</x:v>
      </x:c>
      <x:c r="L4" s="49" t="n">
        <x:v>0.3</x:v>
      </x:c>
      <x:c r="M4" s="49" t="n">
        <x:v>1.2</x:v>
      </x:c>
      <x:c r="N4" s="49" t="n">
        <x:v>4.4</x:v>
      </x:c>
      <x:c r="O4" s="49" t="n">
        <x:v>364</x:v>
      </x:c>
      <x:c r="P4" s="49" t="n">
        <x:v>2</x:v>
      </x:c>
      <x:c r="Q4" s="49" t="n">
        <x:v>23</x:v>
      </x:c>
      <x:c r="R4" s="49" t="n">
        <x:v>0.34</x:v>
      </x:c>
      <x:c r="S4" s="49" t="n">
        <x:v>152</x:v>
      </x:c>
      <x:c r="T4" s="49" t="n">
        <x:v>30</x:v>
      </x:c>
      <x:c r="U4" s="49" t="n">
        <x:v>0</x:v>
      </x:c>
      <x:c r="V4" s="49" t="n">
        <x:v>51</x:v>
      </x:c>
      <x:c r="W4" s="14" t="str">
        <x:v>National KFCT</x:v>
      </x:c>
      <x:c r="X4" s="14" t="str">
        <x:v>Kenya Food Composition Tables</x:v>
      </x:c>
      <x:c r="Y4" s="14" t="n">
        <x:v>2018</x:v>
      </x:c>
      <x:c r="Z4" s="14" t="str">
        <x:v>content (1)(1).pdf</x:v>
      </x:c>
      <x:c r="AA4" s="14" t="str">
        <x:v>PUBLISHED_SOURCE</x:v>
      </x:c>
      <x:c r="AB4" s="14" t="str">
        <x:v>READY_WITH_SOURCE_FLAGS</x:v>
      </x:c>
    </x:row>
    <x:row r="5">
      <x:c r="A5" s="14" t="str">
        <x:v>KE-07027</x:v>
      </x:c>
      <x:c r="B5" s="14" t="str">
        <x:v>KE</x:v>
      </x:c>
      <x:c r="C5" s="14" t="str">
        <x:v>07027</x:v>
      </x:c>
      <x:c r="D5" s="14" t="str">
        <x:v>Egg, chicken, whole, boiled (without salt)</x:v>
      </x:c>
      <x:c r="E5" s="14"/>
      <x:c r="F5" s="14" t="str">
        <x:v>Eggs</x:v>
      </x:c>
      <x:c r="G5" s="14" t="str">
        <x:v>Boiled</x:v>
      </x:c>
      <x:c r="H5" s="14" t="str">
        <x:v>Ingredient</x:v>
      </x:c>
      <x:c r="I5" s="14" t="n">
        <x:v>100</x:v>
      </x:c>
      <x:c r="J5" s="49" t="n">
        <x:v>134</x:v>
      </x:c>
      <x:c r="K5" s="49" t="n">
        <x:v>12.7</x:v>
      </x:c>
      <x:c r="L5" s="49" t="n">
        <x:v>8.1</x:v>
      </x:c>
      <x:c r="M5" s="49" t="n">
        <x:v>2</x:v>
      </x:c>
      <x:c r="N5" s="49" t="n">
        <x:v>0</x:v>
      </x:c>
      <x:c r="O5" s="49" t="n">
        <x:v>51</x:v>
      </x:c>
      <x:c r="P5" s="49" t="n">
        <x:v>1.6</x:v>
      </x:c>
      <x:c r="Q5" s="49" t="n">
        <x:v>13</x:v>
      </x:c>
      <x:c r="R5" s="49" t="n">
        <x:v>1.07</x:v>
      </x:c>
      <x:c r="S5" s="49" t="n">
        <x:v>177</x:v>
      </x:c>
      <x:c r="T5" s="49" t="n">
        <x:v>66</x:v>
      </x:c>
      <x:c r="U5" s="49" t="n">
        <x:v>1</x:v>
      </x:c>
      <x:c r="V5" s="49" t="n">
        <x:v>0</x:v>
      </x:c>
      <x:c r="W5" s="14" t="str">
        <x:v>National KFCT</x:v>
      </x:c>
      <x:c r="X5" s="14" t="str">
        <x:v>Kenya Food Composition Tables</x:v>
      </x:c>
      <x:c r="Y5" s="14" t="n">
        <x:v>2018</x:v>
      </x:c>
      <x:c r="Z5" s="14" t="str">
        <x:v>content (1)(1).pdf</x:v>
      </x:c>
      <x:c r="AA5" s="14" t="str">
        <x:v>PUBLISHED_SOURCE</x:v>
      </x:c>
      <x:c r="AB5" s="14" t="str">
        <x:v>READY_WITH_SOURCE_FLAGS</x:v>
      </x:c>
    </x:row>
    <x:row r="6">
      <x:c r="A6" s="14" t="str">
        <x:v>KE-07037</x:v>
      </x:c>
      <x:c r="B6" s="14" t="str">
        <x:v>KE</x:v>
      </x:c>
      <x:c r="C6" s="14" t="str">
        <x:v>07037</x:v>
      </x:c>
      <x:c r="D6" s="14" t="str">
        <x:v>Beef, liver, boiled (without salt)</x:v>
      </x:c>
      <x:c r="E6" s="14"/>
      <x:c r="F6" s="14" t="str">
        <x:v>Meat/offal</x:v>
      </x:c>
      <x:c r="G6" s="14" t="str">
        <x:v>Boiled</x:v>
      </x:c>
      <x:c r="H6" s="14" t="str">
        <x:v>Ingredient</x:v>
      </x:c>
      <x:c r="I6" s="14" t="n">
        <x:v>100</x:v>
      </x:c>
      <x:c r="J6" s="49" t="n">
        <x:v>178</x:v>
      </x:c>
      <x:c r="K6" s="49" t="n">
        <x:v>30.2</x:v>
      </x:c>
      <x:c r="L6" s="49" t="n">
        <x:v>6.4</x:v>
      </x:c>
      <x:c r="M6" s="49" t="n">
        <x:v>0</x:v>
      </x:c>
      <x:c r="N6" s="49" t="n">
        <x:v>0</x:v>
      </x:c>
      <x:c r="O6" s="49" t="n">
        <x:v>7</x:v>
      </x:c>
      <x:c r="P6" s="49" t="n">
        <x:v>14.6</x:v>
      </x:c>
      <x:c r="Q6" s="49" t="n">
        <x:v>20</x:v>
      </x:c>
      <x:c r="R6" s="49" t="n">
        <x:v>6.25</x:v>
      </x:c>
      <x:c r="S6" s="49" t="n">
        <x:v>23677</x:v>
      </x:c>
      <x:c r="T6" s="49" t="n">
        <x:v>264</x:v>
      </x:c>
      <x:c r="U6" s="49" t="n">
        <x:v>111</x:v>
      </x:c>
      <x:c r="V6" s="49" t="n">
        <x:v>15</x:v>
      </x:c>
      <x:c r="W6" s="14" t="str">
        <x:v>National KFCT</x:v>
      </x:c>
      <x:c r="X6" s="14" t="str">
        <x:v>Kenya Food Composition Tables</x:v>
      </x:c>
      <x:c r="Y6" s="14" t="n">
        <x:v>2018</x:v>
      </x:c>
      <x:c r="Z6" s="14" t="str">
        <x:v>content (1)(1).pdf</x:v>
      </x:c>
      <x:c r="AA6" s="14" t="str">
        <x:v>PUBLISHED_SOURCE</x:v>
      </x:c>
      <x:c r="AB6" s="14" t="str">
        <x:v>READY_WITH_SOURCE_FLAGS</x:v>
      </x:c>
    </x:row>
    <x:row r="7">
      <x:c r="A7" s="14" t="str">
        <x:v>KE-05019</x:v>
      </x:c>
      <x:c r="B7" s="14" t="str">
        <x:v>KE</x:v>
      </x:c>
      <x:c r="C7" s="14" t="str">
        <x:v>05019</x:v>
      </x:c>
      <x:c r="D7" s="14" t="str">
        <x:v>Mango, ripe, raw</x:v>
      </x:c>
      <x:c r="E7" s="14"/>
      <x:c r="F7" s="14" t="str">
        <x:v>Fruits</x:v>
      </x:c>
      <x:c r="G7" s="14" t="str">
        <x:v>Raw</x:v>
      </x:c>
      <x:c r="H7" s="14" t="str">
        <x:v>Ingredient</x:v>
      </x:c>
      <x:c r="I7" s="14" t="n">
        <x:v>100</x:v>
      </x:c>
      <x:c r="J7" s="49" t="n">
        <x:v>64</x:v>
      </x:c>
      <x:c r="K7" s="49" t="n">
        <x:v>0.6</x:v>
      </x:c>
      <x:c r="L7" s="49" t="n">
        <x:v>0.3</x:v>
      </x:c>
      <x:c r="M7" s="49" t="n">
        <x:v>14</x:v>
      </x:c>
      <x:c r="N7" s="49" t="n">
        <x:v>1.6</x:v>
      </x:c>
      <x:c r="O7" s="49" t="n">
        <x:v>14</x:v>
      </x:c>
      <x:c r="P7" s="49" t="n">
        <x:v>0.2</x:v>
      </x:c>
      <x:c r="Q7" s="49" t="n">
        <x:v>9</x:v>
      </x:c>
      <x:c r="R7" s="49" t="n">
        <x:v>0.14</x:v>
      </x:c>
      <x:c r="S7" s="49" t="n">
        <x:v>92</x:v>
      </x:c>
      <x:c r="T7" s="49" t="n">
        <x:v>54</x:v>
      </x:c>
      <x:c r="U7" s="49" t="n">
        <x:v>0</x:v>
      </x:c>
      <x:c r="V7" s="49" t="n">
        <x:v>35</x:v>
      </x:c>
      <x:c r="W7" s="14" t="str">
        <x:v>National KFCT</x:v>
      </x:c>
      <x:c r="X7" s="14" t="str">
        <x:v>Kenya Food Composition Tables</x:v>
      </x:c>
      <x:c r="Y7" s="14" t="n">
        <x:v>2018</x:v>
      </x:c>
      <x:c r="Z7" s="14" t="str">
        <x:v>content (1)(1).pdf</x:v>
      </x:c>
      <x:c r="AA7" s="14" t="str">
        <x:v>PUBLISHED_SOURCE</x:v>
      </x:c>
      <x:c r="AB7" s="14" t="str">
        <x:v>READY_WITH_SOURCE_FLAGS</x:v>
      </x:c>
    </x:row>
    <x:row r="8">
      <x:c r="A8" s="14" t="str">
        <x:v>KE-05024</x:v>
      </x:c>
      <x:c r="B8" s="14" t="str">
        <x:v>KE</x:v>
      </x:c>
      <x:c r="C8" s="14" t="str">
        <x:v>05024</x:v>
      </x:c>
      <x:c r="D8" s="14" t="str">
        <x:v>Papaya, yellow skin, peeled, raw</x:v>
      </x:c>
      <x:c r="E8" s="14"/>
      <x:c r="F8" s="14" t="str">
        <x:v>Fruits</x:v>
      </x:c>
      <x:c r="G8" s="14" t="str">
        <x:v>Raw</x:v>
      </x:c>
      <x:c r="H8" s="14" t="str">
        <x:v>Ingredient</x:v>
      </x:c>
      <x:c r="I8" s="14" t="n">
        <x:v>100</x:v>
      </x:c>
      <x:c r="J8" s="49" t="n">
        <x:v>36</x:v>
      </x:c>
      <x:c r="K8" s="49" t="n">
        <x:v>0.6</x:v>
      </x:c>
      <x:c r="L8" s="49" t="n">
        <x:v>0.3</x:v>
      </x:c>
      <x:c r="M8" s="49" t="n">
        <x:v>6.8</x:v>
      </x:c>
      <x:c r="N8" s="49" t="n">
        <x:v>2.1</x:v>
      </x:c>
      <x:c r="O8" s="49" t="n">
        <x:v>21</x:v>
      </x:c>
      <x:c r="P8" s="49" t="n">
        <x:v>0.6</x:v>
      </x:c>
      <x:c r="Q8" s="49" t="n">
        <x:v>28</x:v>
      </x:c>
      <x:c r="R8" s="49" t="n">
        <x:v>0.2</x:v>
      </x:c>
      <x:c r="S8" s="49" t="n">
        <x:v>85</x:v>
      </x:c>
      <x:c r="T8" s="49" t="n">
        <x:v>37</x:v>
      </x:c>
      <x:c r="U8" s="49" t="n">
        <x:v>0</x:v>
      </x:c>
      <x:c r="V8" s="49" t="n">
        <x:v>51</x:v>
      </x:c>
      <x:c r="W8" s="14" t="str">
        <x:v>National KFCT</x:v>
      </x:c>
      <x:c r="X8" s="14" t="str">
        <x:v>Kenya Food Composition Tables</x:v>
      </x:c>
      <x:c r="Y8" s="14" t="n">
        <x:v>2018</x:v>
      </x:c>
      <x:c r="Z8" s="14" t="str">
        <x:v>content (1)(1).pdf</x:v>
      </x:c>
      <x:c r="AA8" s="14" t="str">
        <x:v>PUBLISHED_SOURCE</x:v>
      </x:c>
      <x:c r="AB8" s="14" t="str">
        <x:v>READY_WITH_SOURCE_FLAGS</x:v>
      </x:c>
    </x:row>
    <x:row r="9">
      <x:c r="A9" s="14" t="str">
        <x:v>KE-05003</x:v>
      </x:c>
      <x:c r="B9" s="14" t="str">
        <x:v>KE</x:v>
      </x:c>
      <x:c r="C9" s="14" t="str">
        <x:v>05003</x:v>
      </x:c>
      <x:c r="D9" s="14" t="str">
        <x:v>Avocado, ripe, raw</x:v>
      </x:c>
      <x:c r="E9" s="14"/>
      <x:c r="F9" s="14" t="str">
        <x:v>Fruits</x:v>
      </x:c>
      <x:c r="G9" s="14" t="str">
        <x:v>Raw</x:v>
      </x:c>
      <x:c r="H9" s="14" t="str">
        <x:v>Ingredient</x:v>
      </x:c>
      <x:c r="I9" s="14" t="n">
        <x:v>100</x:v>
      </x:c>
      <x:c r="J9" s="49" t="n">
        <x:v>185</x:v>
      </x:c>
      <x:c r="K9" s="49" t="n">
        <x:v>1.6</x:v>
      </x:c>
      <x:c r="L9" s="49" t="n">
        <x:v>19.6</x:v>
      </x:c>
      <x:c r="M9" s="49" t="n">
        <x:v>0</x:v>
      </x:c>
      <x:c r="N9" s="49" t="n">
        <x:v>4</x:v>
      </x:c>
      <x:c r="O9" s="49" t="n">
        <x:v>19</x:v>
      </x:c>
      <x:c r="P9" s="49" t="n">
        <x:v>1</x:v>
      </x:c>
      <x:c r="Q9" s="49" t="n">
        <x:v>25</x:v>
      </x:c>
      <x:c r="R9" s="49" t="n">
        <x:v>0.39</x:v>
      </x:c>
      <x:c r="S9" s="49" t="n">
        <x:v>2</x:v>
      </x:c>
      <x:c r="T9" s="49" t="n">
        <x:v>67</x:v>
      </x:c>
      <x:c r="U9" s="49" t="n">
        <x:v>0</x:v>
      </x:c>
      <x:c r="V9" s="49" t="n">
        <x:v>14</x:v>
      </x:c>
      <x:c r="W9" s="14" t="str">
        <x:v>National KFCT</x:v>
      </x:c>
      <x:c r="X9" s="14" t="str">
        <x:v>Kenya Food Composition Tables</x:v>
      </x:c>
      <x:c r="Y9" s="14" t="n">
        <x:v>2018</x:v>
      </x:c>
      <x:c r="Z9" s="14" t="str">
        <x:v>content (1)(1).pdf</x:v>
      </x:c>
      <x:c r="AA9" s="14" t="str">
        <x:v>PUBLISHED_SOURCE</x:v>
      </x:c>
      <x:c r="AB9" s="14" t="str">
        <x:v>READY_WITH_SOURCE_FLAGS</x:v>
      </x:c>
    </x:row>
    <x:row r="10">
      <x:c r="A10" s="14" t="str">
        <x:v>KE-03001</x:v>
      </x:c>
      <x:c r="B10" s="14" t="str">
        <x:v>KE</x:v>
      </x:c>
      <x:c r="C10" s="14" t="str">
        <x:v>03001</x:v>
      </x:c>
      <x:c r="D10" s="14" t="str">
        <x:v>Beans, broad, dry, raw</x:v>
      </x:c>
      <x:c r="E10" s="14"/>
      <x:c r="F10" s="14" t="str">
        <x:v>Legumes</x:v>
      </x:c>
      <x:c r="G10" s="14" t="str">
        <x:v>Raw/dry</x:v>
      </x:c>
      <x:c r="H10" s="14" t="str">
        <x:v>Ingredient</x:v>
      </x:c>
      <x:c r="I10" s="14" t="n">
        <x:v>100</x:v>
      </x:c>
      <x:c r="J10" s="49" t="n">
        <x:v>305</x:v>
      </x:c>
      <x:c r="K10" s="49" t="n">
        <x:v>25.7</x:v>
      </x:c>
      <x:c r="L10" s="49" t="n">
        <x:v>1.53</x:v>
      </x:c>
      <x:c r="M10" s="49" t="n">
        <x:v>35.6</x:v>
      </x:c>
      <x:c r="N10" s="49" t="n">
        <x:v>22.9</x:v>
      </x:c>
      <x:c r="O10" s="49" t="n">
        <x:v>96</x:v>
      </x:c>
      <x:c r="P10" s="49" t="n">
        <x:v>5.19</x:v>
      </x:c>
      <x:c r="Q10" s="49" t="n">
        <x:v>135</x:v>
      </x:c>
      <x:c r="R10" s="49" t="n">
        <x:v>3.55</x:v>
      </x:c>
      <x:c r="S10" s="49" t="n">
        <x:v>2</x:v>
      </x:c>
      <x:c r="T10" s="49" t="n">
        <x:v>250</x:v>
      </x:c>
      <x:c r="U10" s="49" t="n">
        <x:v>0</x:v>
      </x:c>
      <x:c r="V10" s="49" t="n">
        <x:v>1.4</x:v>
      </x:c>
      <x:c r="W10" s="14" t="str">
        <x:v>National KFCT</x:v>
      </x:c>
      <x:c r="X10" s="14" t="str">
        <x:v>Kenya Food Composition Tables</x:v>
      </x:c>
      <x:c r="Y10" s="14" t="n">
        <x:v>2018</x:v>
      </x:c>
      <x:c r="Z10" s="14" t="str">
        <x:v>content (1)(1).pdf</x:v>
      </x:c>
      <x:c r="AA10" s="14" t="str">
        <x:v>PUBLISHED_SOURCE</x:v>
      </x:c>
      <x:c r="AB10" s="14" t="str">
        <x:v>READY_WITH_SOURCE_FLAGS</x:v>
      </x:c>
    </x:row>
    <x:row r="11">
      <x:c r="A11" s="14" t="str">
        <x:v>NG-03-02-03</x:v>
      </x:c>
      <x:c r="B11" s="14" t="str">
        <x:v>NG</x:v>
      </x:c>
      <x:c r="C11" s="14" t="str">
        <x:v>03_02_03</x:v>
      </x:c>
      <x:c r="D11" s="14" t="str">
        <x:v>Bean, whole, boiled, with salt</x:v>
      </x:c>
      <x:c r="E11" s="14"/>
      <x:c r="F11" s="14" t="str">
        <x:v>Legumes</x:v>
      </x:c>
      <x:c r="G11" s="14" t="str">
        <x:v>Boiled</x:v>
      </x:c>
      <x:c r="H11" s="14" t="str">
        <x:v>Ingredient</x:v>
      </x:c>
      <x:c r="I11" s="14" t="n">
        <x:v>100</x:v>
      </x:c>
      <x:c r="J11" s="49" t="n">
        <x:v>147.56</x:v>
      </x:c>
      <x:c r="K11" s="49" t="n">
        <x:v>11.61</x:v>
      </x:c>
      <x:c r="L11" s="49" t="n">
        <x:v>0.5</x:v>
      </x:c>
      <x:c r="M11" s="49" t="n">
        <x:v>21.52</x:v>
      </x:c>
      <x:c r="N11" s="49" t="n">
        <x:v>5.3</x:v>
      </x:c>
      <x:c r="O11" s="49"/>
      <x:c r="P11" s="49"/>
      <x:c r="Q11" s="49"/>
      <x:c r="R11" s="49"/>
      <x:c r="S11" s="49"/>
      <x:c r="T11" s="49"/>
      <x:c r="U11" s="49"/>
      <x:c r="V11" s="49"/>
      <x:c r="W11" s="14" t="str">
        <x:v>National NFCT</x:v>
      </x:c>
      <x:c r="X11" s="14" t="str">
        <x:v>Nigeria Food Composition Table</x:v>
      </x:c>
      <x:c r="Y11" s="14" t="n">
        <x:v>2016</x:v>
      </x:c>
      <x:c r="Z11" s="14" t="str">
        <x:v>Nigeria Food Composition Table.pdf</x:v>
      </x:c>
      <x:c r="AA11" s="14" t="str">
        <x:v>PUBLISHED_SOURCE</x:v>
      </x:c>
      <x:c r="AB11" s="14" t="str">
        <x:v>MACROS_READY_MICROS_PENDING_VERIFICATION</x:v>
      </x:c>
    </x:row>
    <x:row r="12">
      <x:c r="A12" s="14" t="str">
        <x:v>NG-03-08-04</x:v>
      </x:c>
      <x:c r="B12" s="14" t="str">
        <x:v>NG</x:v>
      </x:c>
      <x:c r="C12" s="14" t="str">
        <x:v>03_08_04</x:v>
      </x:c>
      <x:c r="D12" s="14" t="str">
        <x:v>Soya bean, boiled (without salt)</x:v>
      </x:c>
      <x:c r="E12" s="14"/>
      <x:c r="F12" s="14" t="str">
        <x:v>Legumes</x:v>
      </x:c>
      <x:c r="G12" s="14" t="str">
        <x:v>Boiled</x:v>
      </x:c>
      <x:c r="H12" s="14" t="str">
        <x:v>Ingredient</x:v>
      </x:c>
      <x:c r="I12" s="14" t="n">
        <x:v>100</x:v>
      </x:c>
      <x:c r="J12" s="49" t="n">
        <x:v>178.2</x:v>
      </x:c>
      <x:c r="K12" s="49" t="n">
        <x:v>13.9</x:v>
      </x:c>
      <x:c r="L12" s="49" t="n">
        <x:v>7.4</x:v>
      </x:c>
      <x:c r="M12" s="49" t="n">
        <x:v>12</x:v>
      </x:c>
      <x:c r="N12" s="49" t="n">
        <x:v>4</x:v>
      </x:c>
      <x:c r="O12" s="49"/>
      <x:c r="P12" s="49"/>
      <x:c r="Q12" s="49"/>
      <x:c r="R12" s="49"/>
      <x:c r="S12" s="49"/>
      <x:c r="T12" s="49"/>
      <x:c r="U12" s="49"/>
      <x:c r="V12" s="49"/>
      <x:c r="W12" s="14" t="str">
        <x:v>National NFCT</x:v>
      </x:c>
      <x:c r="X12" s="14" t="str">
        <x:v>Nigeria Food Composition Table</x:v>
      </x:c>
      <x:c r="Y12" s="14" t="n">
        <x:v>2016</x:v>
      </x:c>
      <x:c r="Z12" s="14" t="str">
        <x:v>Nigeria Food Composition Table.pdf</x:v>
      </x:c>
      <x:c r="AA12" s="14" t="str">
        <x:v>PUBLISHED_SOURCE</x:v>
      </x:c>
      <x:c r="AB12" s="14" t="str">
        <x:v>MACROS_READY_MICROS_PENDING_VERIFICATION</x:v>
      </x:c>
    </x:row>
    <x:row r="13">
      <x:c r="A13" s="14" t="str">
        <x:v>NG-05-07-03</x:v>
      </x:c>
      <x:c r="B13" s="14" t="str">
        <x:v>NG</x:v>
      </x:c>
      <x:c r="C13" s="14" t="str">
        <x:v>05_07_03</x:v>
      </x:c>
      <x:c r="D13" s="14" t="str">
        <x:v>Amaranth leaves, cooked</x:v>
      </x:c>
      <x:c r="E13" s="14"/>
      <x:c r="F13" s="14" t="str">
        <x:v>Vegetables</x:v>
      </x:c>
      <x:c r="G13" s="14" t="str">
        <x:v>Cooked</x:v>
      </x:c>
      <x:c r="H13" s="14" t="str">
        <x:v>Ingredient</x:v>
      </x:c>
      <x:c r="I13" s="14" t="n">
        <x:v>100</x:v>
      </x:c>
      <x:c r="J13" s="49" t="n">
        <x:v>54.7</x:v>
      </x:c>
      <x:c r="K13" s="49" t="n">
        <x:v>4</x:v>
      </x:c>
      <x:c r="L13" s="49" t="n">
        <x:v>0.9</x:v>
      </x:c>
      <x:c r="M13" s="49" t="n">
        <x:v>7</x:v>
      </x:c>
      <x:c r="N13" s="49" t="n">
        <x:v>1.3</x:v>
      </x:c>
      <x:c r="O13" s="49"/>
      <x:c r="P13" s="49"/>
      <x:c r="Q13" s="49"/>
      <x:c r="R13" s="49"/>
      <x:c r="S13" s="49"/>
      <x:c r="T13" s="49"/>
      <x:c r="U13" s="49"/>
      <x:c r="V13" s="49"/>
      <x:c r="W13" s="14" t="str">
        <x:v>National NFCT</x:v>
      </x:c>
      <x:c r="X13" s="14" t="str">
        <x:v>Nigeria Food Composition Table</x:v>
      </x:c>
      <x:c r="Y13" s="14" t="n">
        <x:v>2016</x:v>
      </x:c>
      <x:c r="Z13" s="14" t="str">
        <x:v>Nigeria Food Composition Table.pdf</x:v>
      </x:c>
      <x:c r="AA13" s="14" t="str">
        <x:v>PUBLISHED_SOURCE</x:v>
      </x:c>
      <x:c r="AB13" s="14" t="str">
        <x:v>MACROS_READY_MICROS_PENDING_VERIFICATION</x:v>
      </x:c>
    </x:row>
    <x:row r="14">
      <x:c r="A14" s="14" t="str">
        <x:v>NG-06-15-01</x:v>
      </x:c>
      <x:c r="B14" s="14" t="str">
        <x:v>NG</x:v>
      </x:c>
      <x:c r="C14" s="14" t="str">
        <x:v>06_15_01</x:v>
      </x:c>
      <x:c r="D14" s="14" t="str">
        <x:v>Mango (Efik)</x:v>
      </x:c>
      <x:c r="E14" s="14"/>
      <x:c r="F14" s="14" t="str">
        <x:v>Fruits</x:v>
      </x:c>
      <x:c r="G14" s="14" t="str">
        <x:v>Raw</x:v>
      </x:c>
      <x:c r="H14" s="14" t="str">
        <x:v>Ingredient</x:v>
      </x:c>
      <x:c r="I14" s="14" t="n">
        <x:v>100</x:v>
      </x:c>
      <x:c r="J14" s="49" t="n">
        <x:v>76.82</x:v>
      </x:c>
      <x:c r="K14" s="49" t="n">
        <x:v>1.47</x:v>
      </x:c>
      <x:c r="L14" s="49" t="n">
        <x:v>1.3</x:v>
      </x:c>
      <x:c r="M14" s="49" t="n">
        <x:v>13.92</x:v>
      </x:c>
      <x:c r="N14" s="49" t="n">
        <x:v>1.8</x:v>
      </x:c>
      <x:c r="O14" s="49"/>
      <x:c r="P14" s="49"/>
      <x:c r="Q14" s="49"/>
      <x:c r="R14" s="49"/>
      <x:c r="S14" s="49"/>
      <x:c r="T14" s="49"/>
      <x:c r="U14" s="49"/>
      <x:c r="V14" s="49"/>
      <x:c r="W14" s="14" t="str">
        <x:v>National NFCT</x:v>
      </x:c>
      <x:c r="X14" s="14" t="str">
        <x:v>Nigeria Food Composition Table</x:v>
      </x:c>
      <x:c r="Y14" s="14" t="n">
        <x:v>2016</x:v>
      </x:c>
      <x:c r="Z14" s="14" t="str">
        <x:v>Nigeria Food Composition Table.pdf</x:v>
      </x:c>
      <x:c r="AA14" s="14" t="str">
        <x:v>PUBLISHED_SOURCE</x:v>
      </x:c>
      <x:c r="AB14" s="14" t="str">
        <x:v>MACROS_READY_MICROS_PENDING_VERIFICATION</x:v>
      </x:c>
    </x:row>
    <x:row r="15">
      <x:c r="A15" s="14" t="str">
        <x:v>NG-06-18-01</x:v>
      </x:c>
      <x:c r="B15" s="14" t="str">
        <x:v>NG</x:v>
      </x:c>
      <x:c r="C15" s="14" t="str">
        <x:v>06_18_01</x:v>
      </x:c>
      <x:c r="D15" s="14" t="str">
        <x:v>Ibepe (Yoruba)</x:v>
      </x:c>
      <x:c r="E15" s="14"/>
      <x:c r="F15" s="14" t="str">
        <x:v>Fruits</x:v>
      </x:c>
      <x:c r="G15" s="14" t="str">
        <x:v>Raw</x:v>
      </x:c>
      <x:c r="H15" s="14" t="str">
        <x:v>Ingredient</x:v>
      </x:c>
      <x:c r="I15" s="14" t="n">
        <x:v>100</x:v>
      </x:c>
      <x:c r="J15" s="49" t="n">
        <x:v>69.8</x:v>
      </x:c>
      <x:c r="K15" s="49" t="n">
        <x:v>4.1</x:v>
      </x:c>
      <x:c r="L15" s="49" t="n">
        <x:v>0.6</x:v>
      </x:c>
      <x:c r="M15" s="49" t="n">
        <x:v>9</x:v>
      </x:c>
      <x:c r="N15" s="49" t="n">
        <x:v>6</x:v>
      </x:c>
      <x:c r="O15" s="49"/>
      <x:c r="P15" s="49"/>
      <x:c r="Q15" s="49"/>
      <x:c r="R15" s="49"/>
      <x:c r="S15" s="49"/>
      <x:c r="T15" s="49"/>
      <x:c r="U15" s="49"/>
      <x:c r="V15" s="49"/>
      <x:c r="W15" s="14" t="str">
        <x:v>National NFCT</x:v>
      </x:c>
      <x:c r="X15" s="14" t="str">
        <x:v>Nigeria Food Composition Table</x:v>
      </x:c>
      <x:c r="Y15" s="14" t="n">
        <x:v>2016</x:v>
      </x:c>
      <x:c r="Z15" s="14" t="str">
        <x:v>Nigeria Food Composition Table.pdf</x:v>
      </x:c>
      <x:c r="AA15" s="14" t="str">
        <x:v>PUBLISHED_SOURCE</x:v>
      </x:c>
      <x:c r="AB15" s="14" t="str">
        <x:v>MACROS_READY_MICROS_PENDING_VERIFICATION</x:v>
      </x:c>
    </x:row>
    <x:row r="16">
      <x:c r="A16" s="14" t="str">
        <x:v>NG-09-01-04</x:v>
      </x:c>
      <x:c r="B16" s="14" t="str">
        <x:v>NG</x:v>
      </x:c>
      <x:c r="C16" s="14" t="str">
        <x:v>09_01_04</x:v>
      </x:c>
      <x:c r="D16" s="14" t="str">
        <x:v>Chicken, Egg, whole cooked, hard boiled</x:v>
      </x:c>
      <x:c r="E16" s="14"/>
      <x:c r="F16" s="14" t="str">
        <x:v>Eggs</x:v>
      </x:c>
      <x:c r="G16" s="14" t="str">
        <x:v>Hard-boiled</x:v>
      </x:c>
      <x:c r="H16" s="14" t="str">
        <x:v>Ingredient</x:v>
      </x:c>
      <x:c r="I16" s="14" t="n">
        <x:v>100</x:v>
      </x:c>
      <x:c r="J16" s="49" t="n">
        <x:v>194.93</x:v>
      </x:c>
      <x:c r="K16" s="49" t="n">
        <x:v>16.83</x:v>
      </x:c>
      <x:c r="L16" s="49" t="n">
        <x:v>13.57</x:v>
      </x:c>
      <x:c r="M16" s="49" t="n">
        <x:v>1.37</x:v>
      </x:c>
      <x:c r="N16" s="49" t="n">
        <x:v>0</x:v>
      </x:c>
      <x:c r="O16" s="49"/>
      <x:c r="P16" s="49"/>
      <x:c r="Q16" s="49"/>
      <x:c r="R16" s="49"/>
      <x:c r="S16" s="49"/>
      <x:c r="T16" s="49"/>
      <x:c r="U16" s="49"/>
      <x:c r="V16" s="49"/>
      <x:c r="W16" s="14" t="str">
        <x:v>National NFCT</x:v>
      </x:c>
      <x:c r="X16" s="14" t="str">
        <x:v>Nigeria Food Composition Table</x:v>
      </x:c>
      <x:c r="Y16" s="14" t="n">
        <x:v>2016</x:v>
      </x:c>
      <x:c r="Z16" s="14" t="str">
        <x:v>Nigeria Food Composition Table.pdf</x:v>
      </x:c>
      <x:c r="AA16" s="14" t="str">
        <x:v>PUBLISHED_SOURCE</x:v>
      </x:c>
      <x:c r="AB16" s="14" t="str">
        <x:v>MACROS_READY_MICROS_PENDING_VERIFICATION</x:v>
      </x:c>
    </x:row>
    <x:row r="17">
      <x:c r="A17" s="14" t="str">
        <x:v>NG-10-02-01</x:v>
      </x:c>
      <x:c r="B17" s="14" t="str">
        <x:v>NG</x:v>
      </x:c>
      <x:c r="C17" s="14" t="str">
        <x:v>10_02_01</x:v>
      </x:c>
      <x:c r="D17" s="14" t="str">
        <x:v>Cat fish, farmed, raw</x:v>
      </x:c>
      <x:c r="E17" s="14"/>
      <x:c r="F17" s="14" t="str">
        <x:v>Fish</x:v>
      </x:c>
      <x:c r="G17" s="14" t="str">
        <x:v>Raw</x:v>
      </x:c>
      <x:c r="H17" s="14" t="str">
        <x:v>Ingredient</x:v>
      </x:c>
      <x:c r="I17" s="14" t="n">
        <x:v>100</x:v>
      </x:c>
      <x:c r="J17" s="49" t="n">
        <x:v>123.18</x:v>
      </x:c>
      <x:c r="K17" s="49" t="n">
        <x:v>17.4</x:v>
      </x:c>
      <x:c r="L17" s="49" t="n">
        <x:v>5.85</x:v>
      </x:c>
      <x:c r="M17" s="49" t="n">
        <x:v>0</x:v>
      </x:c>
      <x:c r="N17" s="49" t="n">
        <x:v>0.5</x:v>
      </x:c>
      <x:c r="O17" s="49"/>
      <x:c r="P17" s="49"/>
      <x:c r="Q17" s="49"/>
      <x:c r="R17" s="49"/>
      <x:c r="S17" s="49"/>
      <x:c r="T17" s="49"/>
      <x:c r="U17" s="49"/>
      <x:c r="V17" s="49"/>
      <x:c r="W17" s="14" t="str">
        <x:v>National NFCT</x:v>
      </x:c>
      <x:c r="X17" s="14" t="str">
        <x:v>Nigeria Food Composition Table</x:v>
      </x:c>
      <x:c r="Y17" s="14" t="n">
        <x:v>2016</x:v>
      </x:c>
      <x:c r="Z17" s="14" t="str">
        <x:v>Nigeria Food Composition Table.pdf</x:v>
      </x:c>
      <x:c r="AA17" s="14" t="str">
        <x:v>PUBLISHED_SOURCE</x:v>
      </x:c>
      <x:c r="AB17" s="14" t="str">
        <x:v>MACROS_READY_MICROS_PENDING_VERIFICATION</x:v>
      </x:c>
    </x:row>
    <x:row r="18">
      <x:c r="A18" s="14" t="str">
        <x:v>NG-10-10-01</x:v>
      </x:c>
      <x:c r="B18" s="14" t="str">
        <x:v>NG</x:v>
      </x:c>
      <x:c r="C18" s="14" t="str">
        <x:v>10_10_01</x:v>
      </x:c>
      <x:c r="D18" s="14" t="str">
        <x:v>Sardine, Fresh, raw</x:v>
      </x:c>
      <x:c r="E18" s="14"/>
      <x:c r="F18" s="14" t="str">
        <x:v>Fish</x:v>
      </x:c>
      <x:c r="G18" s="14" t="str">
        <x:v>Raw</x:v>
      </x:c>
      <x:c r="H18" s="14" t="str">
        <x:v>Ingredient</x:v>
      </x:c>
      <x:c r="I18" s="14" t="n">
        <x:v>100</x:v>
      </x:c>
      <x:c r="J18" s="49" t="n">
        <x:v>103.7</x:v>
      </x:c>
      <x:c r="K18" s="49" t="n">
        <x:v>19.4</x:v>
      </x:c>
      <x:c r="L18" s="49" t="n">
        <x:v>2.9</x:v>
      </x:c>
      <x:c r="M18" s="49" t="n">
        <x:v>0</x:v>
      </x:c>
      <x:c r="N18" s="49" t="n">
        <x:v>0</x:v>
      </x:c>
      <x:c r="O18" s="49"/>
      <x:c r="P18" s="49"/>
      <x:c r="Q18" s="49"/>
      <x:c r="R18" s="49"/>
      <x:c r="S18" s="49"/>
      <x:c r="T18" s="49"/>
      <x:c r="U18" s="49"/>
      <x:c r="V18" s="49"/>
      <x:c r="W18" s="14" t="str">
        <x:v>National NFCT</x:v>
      </x:c>
      <x:c r="X18" s="14" t="str">
        <x:v>Nigeria Food Composition Table</x:v>
      </x:c>
      <x:c r="Y18" s="14" t="n">
        <x:v>2016</x:v>
      </x:c>
      <x:c r="Z18" s="14" t="str">
        <x:v>Nigeria Food Composition Table.pdf</x:v>
      </x:c>
      <x:c r="AA18" s="14" t="str">
        <x:v>PUBLISHED_SOURCE</x:v>
      </x:c>
      <x:c r="AB18" s="14" t="str">
        <x:v>MACROS_READY_MICROS_PENDING_VERIFICATION</x:v>
      </x:c>
    </x:row>
    <x:row r="19">
      <x:c r="A19" s="14" t="str">
        <x:v>NG-02-05-02</x:v>
      </x:c>
      <x:c r="B19" s="14" t="str">
        <x:v>NG</x:v>
      </x:c>
      <x:c r="C19" s="14" t="str">
        <x:v>02_05_02</x:v>
      </x:c>
      <x:c r="D19" s="14" t="str">
        <x:v>Plantain, ripe, peeled, Boiled</x:v>
      </x:c>
      <x:c r="E19" s="14"/>
      <x:c r="F19" s="14" t="str">
        <x:v>Roots/plantain</x:v>
      </x:c>
      <x:c r="G19" s="14" t="str">
        <x:v>Boiled</x:v>
      </x:c>
      <x:c r="H19" s="14" t="str">
        <x:v>Ingredient</x:v>
      </x:c>
      <x:c r="I19" s="14" t="n">
        <x:v>100</x:v>
      </x:c>
      <x:c r="J19" s="49" t="n">
        <x:v>81.4</x:v>
      </x:c>
      <x:c r="K19" s="49" t="n">
        <x:v>1.3</x:v>
      </x:c>
      <x:c r="L19" s="49" t="n">
        <x:v>0.1</x:v>
      </x:c>
      <x:c r="M19" s="49" t="n">
        <x:v>18.4</x:v>
      </x:c>
      <x:c r="N19" s="49" t="n">
        <x:v>0.85</x:v>
      </x:c>
      <x:c r="O19" s="49"/>
      <x:c r="P19" s="49"/>
      <x:c r="Q19" s="49"/>
      <x:c r="R19" s="49"/>
      <x:c r="S19" s="49"/>
      <x:c r="T19" s="49"/>
      <x:c r="U19" s="49"/>
      <x:c r="V19" s="49"/>
      <x:c r="W19" s="14" t="str">
        <x:v>National NFCT</x:v>
      </x:c>
      <x:c r="X19" s="14" t="str">
        <x:v>Nigeria Food Composition Table</x:v>
      </x:c>
      <x:c r="Y19" s="14" t="n">
        <x:v>2016</x:v>
      </x:c>
      <x:c r="Z19" s="14" t="str">
        <x:v>Nigeria Food Composition Table.pdf</x:v>
      </x:c>
      <x:c r="AA19" s="14" t="str">
        <x:v>PUBLISHED_SOURCE</x:v>
      </x:c>
      <x:c r="AB19" s="14" t="str">
        <x:v>MACROS_READY_MICROS_PENDING_VERIFICATION</x:v>
      </x:c>
    </x:row>
    <x:row r="20">
      <x:c r="A20" s="14" t="str">
        <x:v>NG-02-07-09</x:v>
      </x:c>
      <x:c r="B20" s="14" t="str">
        <x:v>NG</x:v>
      </x:c>
      <x:c r="C20" s="14" t="str">
        <x:v>02_07_09</x:v>
      </x:c>
      <x:c r="D20" s="14" t="str">
        <x:v>Yam, peeled, boiled</x:v>
      </x:c>
      <x:c r="E20" s="14"/>
      <x:c r="F20" s="14" t="str">
        <x:v>Roots &amp; tubers</x:v>
      </x:c>
      <x:c r="G20" s="14" t="str">
        <x:v>Boiled</x:v>
      </x:c>
      <x:c r="H20" s="14" t="str">
        <x:v>Ingredient</x:v>
      </x:c>
      <x:c r="I20" s="14" t="n">
        <x:v>100</x:v>
      </x:c>
      <x:c r="J20" s="49" t="n">
        <x:v>120.32</x:v>
      </x:c>
      <x:c r="K20" s="49" t="n">
        <x:v>1.94</x:v>
      </x:c>
      <x:c r="L20" s="49" t="n">
        <x:v>0.12</x:v>
      </x:c>
      <x:c r="M20" s="49" t="n">
        <x:v>26.48</x:v>
      </x:c>
      <x:c r="N20" s="49" t="n">
        <x:v>2.8</x:v>
      </x:c>
      <x:c r="O20" s="49"/>
      <x:c r="P20" s="49"/>
      <x:c r="Q20" s="49"/>
      <x:c r="R20" s="49"/>
      <x:c r="S20" s="49"/>
      <x:c r="T20" s="49"/>
      <x:c r="U20" s="49"/>
      <x:c r="V20" s="49"/>
      <x:c r="W20" s="14" t="str">
        <x:v>National NFCT</x:v>
      </x:c>
      <x:c r="X20" s="14" t="str">
        <x:v>Nigeria Food Composition Table</x:v>
      </x:c>
      <x:c r="Y20" s="14" t="n">
        <x:v>2016</x:v>
      </x:c>
      <x:c r="Z20" s="14" t="str">
        <x:v>Nigeria Food Composition Table.pdf</x:v>
      </x:c>
      <x:c r="AA20" s="14" t="str">
        <x:v>PUBLISHED_SOURCE</x:v>
      </x:c>
      <x:c r="AB20" s="14" t="str">
        <x:v>MACROS_READY_MICROS_PENDING_VERIFICATION</x:v>
      </x:c>
    </x:row>
    <x:row r="21">
      <x:c r="A21" s="14" t="str">
        <x:v>SN-01-017</x:v>
      </x:c>
      <x:c r="B21" s="14" t="str">
        <x:v>SN</x:v>
      </x:c>
      <x:c r="C21" s="14" t="str">
        <x:v>01_017</x:v>
      </x:c>
      <x:c r="D21" s="14" t="str">
        <x:v>Pearl millet, whole grains (with bran), raw</x:v>
      </x:c>
      <x:c r="E21" s="14" t="str">
        <x:v>Mil à chandelle. grain entier (avec son). cru</x:v>
      </x:c>
      <x:c r="F21" s="14" t="str">
        <x:v>Cereals</x:v>
      </x:c>
      <x:c r="G21" s="14" t="str">
        <x:v>Raw/dry</x:v>
      </x:c>
      <x:c r="H21" s="14" t="str">
        <x:v>Ingredient</x:v>
      </x:c>
      <x:c r="I21" s="14" t="n">
        <x:v>100</x:v>
      </x:c>
      <x:c r="J21" s="49" t="n">
        <x:v>365</x:v>
      </x:c>
      <x:c r="K21" s="49" t="n">
        <x:v>9.3</x:v>
      </x:c>
      <x:c r="L21" s="49" t="n">
        <x:v>5.9</x:v>
      </x:c>
      <x:c r="M21" s="49" t="n">
        <x:v>64.2</x:v>
      </x:c>
      <x:c r="N21" s="49" t="n">
        <x:v>9</x:v>
      </x:c>
      <x:c r="O21" s="49" t="n">
        <x:v>23</x:v>
      </x:c>
      <x:c r="P21" s="49" t="n">
        <x:v>15.2</x:v>
      </x:c>
      <x:c r="Q21" s="49" t="n">
        <x:v>96</x:v>
      </x:c>
      <x:c r="R21" s="49" t="n">
        <x:v>2.58</x:v>
      </x:c>
      <x:c r="S21" s="49" t="n">
        <x:v>1</x:v>
      </x:c>
      <x:c r="T21" s="49" t="n">
        <x:v>160</x:v>
      </x:c>
      <x:c r="U21" s="49" t="n">
        <x:v>0</x:v>
      </x:c>
      <x:c r="V21" s="49" t="n">
        <x:v>0</x:v>
      </x:c>
      <x:c r="W21" s="14" t="str">
        <x:v>Regional WAFCT; Senegal pack candidate</x:v>
      </x:c>
      <x:c r="X21" s="14" t="str">
        <x:v>FAO/INFOODS Food Composition Table for Western Africa</x:v>
      </x:c>
      <x:c r="Y21" s="14" t="n">
        <x:v>2019</x:v>
      </x:c>
      <x:c r="Z21" s="14" t="str">
        <x:v>content.pdf</x:v>
      </x:c>
      <x:c r="AA21" s="14" t="str">
        <x:v>PUBLISHED_SOURCE</x:v>
      </x:c>
      <x:c r="AB21" s="14" t="str">
        <x:v>READY_WITH_SOURCE_FLAGS</x:v>
      </x:c>
    </x:row>
    <x:row r="22">
      <x:c r="A22" s="14" t="str">
        <x:v>SN-03-007</x:v>
      </x:c>
      <x:c r="B22" s="14" t="str">
        <x:v>SN</x:v>
      </x:c>
      <x:c r="C22" s="14" t="str">
        <x:v>03_007</x:v>
      </x:c>
      <x:c r="D22" s="14" t="str">
        <x:v>Cowpea, not soaked, boiled* (without salt), drained</x:v>
      </x:c>
      <x:c r="E22" s="14" t="str">
        <x:v>Niébé. non trempé. bouilli* (sans sel). égoutté</x:v>
      </x:c>
      <x:c r="F22" s="14" t="str">
        <x:v>Legumes</x:v>
      </x:c>
      <x:c r="G22" s="14" t="str">
        <x:v>Boiled/drained</x:v>
      </x:c>
      <x:c r="H22" s="14" t="str">
        <x:v>Ingredient</x:v>
      </x:c>
      <x:c r="I22" s="14" t="n">
        <x:v>100</x:v>
      </x:c>
      <x:c r="J22" s="49" t="n">
        <x:v>122</x:v>
      </x:c>
      <x:c r="K22" s="49" t="n">
        <x:v>8.5</x:v>
      </x:c>
      <x:c r="L22" s="49" t="n">
        <x:v>0.5</x:v>
      </x:c>
      <x:c r="M22" s="49" t="n">
        <x:v>18.3</x:v>
      </x:c>
      <x:c r="N22" s="49" t="n">
        <x:v>4.7</x:v>
      </x:c>
      <x:c r="O22" s="49" t="n">
        <x:v>26</x:v>
      </x:c>
      <x:c r="P22" s="49" t="n">
        <x:v>2</x:v>
      </x:c>
      <x:c r="Q22" s="49" t="n">
        <x:v>79</x:v>
      </x:c>
      <x:c r="R22" s="49" t="n">
        <x:v>1.2</x:v>
      </x:c>
      <x:c r="S22" s="49" t="n">
        <x:v>1</x:v>
      </x:c>
      <x:c r="T22" s="49" t="n">
        <x:v>78</x:v>
      </x:c>
      <x:c r="U22" s="49" t="n">
        <x:v>0</x:v>
      </x:c>
      <x:c r="V22" s="49" t="n">
        <x:v>0</x:v>
      </x:c>
      <x:c r="W22" s="14" t="str">
        <x:v>Regional WAFCT; Senegal pack candidate</x:v>
      </x:c>
      <x:c r="X22" s="14" t="str">
        <x:v>FAO/INFOODS Food Composition Table for Western Africa</x:v>
      </x:c>
      <x:c r="Y22" s="14" t="n">
        <x:v>2019</x:v>
      </x:c>
      <x:c r="Z22" s="14" t="str">
        <x:v>content.pdf</x:v>
      </x:c>
      <x:c r="AA22" s="14" t="str">
        <x:v>PUBLISHED_SOURCE</x:v>
      </x:c>
      <x:c r="AB22" s="14" t="str">
        <x:v>READY_WITH_SOURCE_FLAGS</x:v>
      </x:c>
    </x:row>
    <x:row r="23">
      <x:c r="A23" s="14" t="str">
        <x:v>SN-05-004</x:v>
      </x:c>
      <x:c r="B23" s="14" t="str">
        <x:v>SN</x:v>
      </x:c>
      <x:c r="C23" s="14" t="str">
        <x:v>05_004</x:v>
      </x:c>
      <x:c r="D23" s="14" t="str">
        <x:v>Baobab, fruit/monkey bread, raw</x:v>
      </x:c>
      <x:c r="E23" s="14" t="str">
        <x:v>Baobab. fruit/pain de singe. cru</x:v>
      </x:c>
      <x:c r="F23" s="14" t="str">
        <x:v>Fruits</x:v>
      </x:c>
      <x:c r="G23" s="14" t="str">
        <x:v>Raw</x:v>
      </x:c>
      <x:c r="H23" s="14" t="str">
        <x:v>Ingredient</x:v>
      </x:c>
      <x:c r="I23" s="14" t="n">
        <x:v>100</x:v>
      </x:c>
      <x:c r="J23" s="49" t="n">
        <x:v>305</x:v>
      </x:c>
      <x:c r="K23" s="49" t="n">
        <x:v>2.1</x:v>
      </x:c>
      <x:c r="L23" s="49" t="n">
        <x:v>0.3</x:v>
      </x:c>
      <x:c r="M23" s="49" t="n">
        <x:v>70</x:v>
      </x:c>
      <x:c r="N23" s="49" t="n">
        <x:v>7</x:v>
      </x:c>
      <x:c r="O23" s="49" t="n">
        <x:v>254</x:v>
      </x:c>
      <x:c r="P23" s="49" t="n">
        <x:v>6.4</x:v>
      </x:c>
      <x:c r="Q23" s="49" t="n">
        <x:v>139</x:v>
      </x:c>
      <x:c r="R23" s="49" t="n">
        <x:v>1.44</x:v>
      </x:c>
      <x:c r="S23" s="49" t="n">
        <x:v>12</x:v>
      </x:c>
      <x:c r="T23" s="49" t="n">
        <x:v>50</x:v>
      </x:c>
      <x:c r="U23" s="49" t="n">
        <x:v>0</x:v>
      </x:c>
      <x:c r="V23" s="49" t="n">
        <x:v>251</x:v>
      </x:c>
      <x:c r="W23" s="14" t="str">
        <x:v>Regional WAFCT; Senegal pack candidate</x:v>
      </x:c>
      <x:c r="X23" s="14" t="str">
        <x:v>FAO/INFOODS Food Composition Table for Western Africa</x:v>
      </x:c>
      <x:c r="Y23" s="14" t="n">
        <x:v>2019</x:v>
      </x:c>
      <x:c r="Z23" s="14" t="str">
        <x:v>content.pdf</x:v>
      </x:c>
      <x:c r="AA23" s="14" t="str">
        <x:v>PUBLISHED_SOURCE</x:v>
      </x:c>
      <x:c r="AB23" s="14" t="str">
        <x:v>READY_WITH_SOURCE_FLAGS</x:v>
      </x:c>
    </x:row>
    <x:row r="24">
      <x:c r="A24" s="14" t="str">
        <x:v>SN-05-017</x:v>
      </x:c>
      <x:c r="B24" s="14" t="str">
        <x:v>SN</x:v>
      </x:c>
      <x:c r="C24" s="14" t="str">
        <x:v>05_017</x:v>
      </x:c>
      <x:c r="D24" s="14" t="str">
        <x:v>Papaya, fruit, ripe, raw</x:v>
      </x:c>
      <x:c r="E24" s="14" t="str">
        <x:v>Papaye. fruit. mûr. cru</x:v>
      </x:c>
      <x:c r="F24" s="14" t="str">
        <x:v>Fruits</x:v>
      </x:c>
      <x:c r="G24" s="14" t="str">
        <x:v>Raw</x:v>
      </x:c>
      <x:c r="H24" s="14" t="str">
        <x:v>Ingredient</x:v>
      </x:c>
      <x:c r="I24" s="14" t="n">
        <x:v>100</x:v>
      </x:c>
      <x:c r="J24" s="49" t="n">
        <x:v>59</x:v>
      </x:c>
      <x:c r="K24" s="49" t="n">
        <x:v>0.4</x:v>
      </x:c>
      <x:c r="L24" s="49" t="n">
        <x:v>0.1</x:v>
      </x:c>
      <x:c r="M24" s="49" t="n">
        <x:v>13</x:v>
      </x:c>
      <x:c r="N24" s="49" t="n">
        <x:v>2.1</x:v>
      </x:c>
      <x:c r="O24" s="49" t="n">
        <x:v>21</x:v>
      </x:c>
      <x:c r="P24" s="49" t="n">
        <x:v>0.8</x:v>
      </x:c>
      <x:c r="Q24" s="49" t="n">
        <x:v>8</x:v>
      </x:c>
      <x:c r="R24" s="49" t="n">
        <x:v>0.15</x:v>
      </x:c>
      <x:c r="S24" s="49" t="n">
        <x:v>126</x:v>
      </x:c>
      <x:c r="T24" s="49" t="n">
        <x:v>37</x:v>
      </x:c>
      <x:c r="U24" s="49" t="n">
        <x:v>0</x:v>
      </x:c>
      <x:c r="V24" s="49" t="n">
        <x:v>52</x:v>
      </x:c>
      <x:c r="W24" s="14" t="str">
        <x:v>Regional WAFCT; Senegal pack candidate</x:v>
      </x:c>
      <x:c r="X24" s="14" t="str">
        <x:v>FAO/INFOODS Food Composition Table for Western Africa</x:v>
      </x:c>
      <x:c r="Y24" s="14" t="n">
        <x:v>2019</x:v>
      </x:c>
      <x:c r="Z24" s="14" t="str">
        <x:v>content.pdf</x:v>
      </x:c>
      <x:c r="AA24" s="14" t="str">
        <x:v>PUBLISHED_SOURCE</x:v>
      </x:c>
      <x:c r="AB24" s="14" t="str">
        <x:v>READY_WITH_SOURCE_FLAGS</x:v>
      </x:c>
    </x:row>
    <x:row r="25">
      <x:c r="A25" s="14" t="str">
        <x:v>SN-09-004</x:v>
      </x:c>
      <x:c r="B25" s="14" t="str">
        <x:v>SN</x:v>
      </x:c>
      <x:c r="C25" s="14" t="str">
        <x:v>09_004</x:v>
      </x:c>
      <x:c r="D25" s="14" t="str">
        <x:v>Sardine, fillet, raw</x:v>
      </x:c>
      <x:c r="E25" s="14" t="str">
        <x:v>Sardine. filet. cru</x:v>
      </x:c>
      <x:c r="F25" s="14" t="str">
        <x:v>Fish</x:v>
      </x:c>
      <x:c r="G25" s="14" t="str">
        <x:v>Raw</x:v>
      </x:c>
      <x:c r="H25" s="14" t="str">
        <x:v>Ingredient</x:v>
      </x:c>
      <x:c r="I25" s="14" t="n">
        <x:v>100</x:v>
      </x:c>
      <x:c r="J25" s="49" t="n">
        <x:v>106</x:v>
      </x:c>
      <x:c r="K25" s="49" t="n">
        <x:v>19.8</x:v>
      </x:c>
      <x:c r="L25" s="49" t="n">
        <x:v>3</x:v>
      </x:c>
      <x:c r="M25" s="49" t="n">
        <x:v>0</x:v>
      </x:c>
      <x:c r="N25" s="49" t="n">
        <x:v>0</x:v>
      </x:c>
      <x:c r="O25" s="49" t="n">
        <x:v>50</x:v>
      </x:c>
      <x:c r="P25" s="49" t="n">
        <x:v>1.7</x:v>
      </x:c>
      <x:c r="Q25" s="49" t="n">
        <x:v>44</x:v>
      </x:c>
      <x:c r="R25" s="49" t="n">
        <x:v>1.53</x:v>
      </x:c>
      <x:c r="S25" s="49" t="n">
        <x:v>14</x:v>
      </x:c>
      <x:c r="T25" s="49" t="n">
        <x:v>23</x:v>
      </x:c>
      <x:c r="U25" s="49" t="n">
        <x:v>8.3</x:v>
      </x:c>
      <x:c r="V25" s="49" t="n">
        <x:v>0</x:v>
      </x:c>
      <x:c r="W25" s="14" t="str">
        <x:v>Regional WAFCT; Senegal pack candidate</x:v>
      </x:c>
      <x:c r="X25" s="14" t="str">
        <x:v>FAO/INFOODS Food Composition Table for Western Africa</x:v>
      </x:c>
      <x:c r="Y25" s="14" t="n">
        <x:v>2019</x:v>
      </x:c>
      <x:c r="Z25" s="14" t="str">
        <x:v>content.pdf</x:v>
      </x:c>
      <x:c r="AA25" s="14" t="str">
        <x:v>PUBLISHED_SOURCE</x:v>
      </x:c>
      <x:c r="AB25" s="14" t="str">
        <x:v>READY_WITH_SOURCE_FLAGS</x:v>
      </x:c>
    </x:row>
    <x:row r="26">
      <x:c r="A26" s="14" t="str">
        <x:v>SN-08-010</x:v>
      </x:c>
      <x:c r="B26" s="14" t="str">
        <x:v>SN</x:v>
      </x:c>
      <x:c r="C26" s="14" t="str">
        <x:v>08_010</x:v>
      </x:c>
      <x:c r="D26" s="14" t="str">
        <x:v>Egg, chicken, local breed, boiled* (without salt)</x:v>
      </x:c>
      <x:c r="E26" s="14" t="str">
        <x:v>Œuf. poule. race locale. bouilli* (sans sel)</x:v>
      </x:c>
      <x:c r="F26" s="14" t="str">
        <x:v>Eggs</x:v>
      </x:c>
      <x:c r="G26" s="14" t="str">
        <x:v>Boiled</x:v>
      </x:c>
      <x:c r="H26" s="14" t="str">
        <x:v>Ingredient</x:v>
      </x:c>
      <x:c r="I26" s="14" t="n">
        <x:v>100</x:v>
      </x:c>
      <x:c r="J26" s="49" t="n">
        <x:v>147.6</x:v>
      </x:c>
      <x:c r="K26" s="49" t="n">
        <x:v>12.7</x:v>
      </x:c>
      <x:c r="L26" s="49" t="n">
        <x:v>10.4</x:v>
      </x:c>
      <x:c r="M26" s="49" t="n">
        <x:v>0.8</x:v>
      </x:c>
      <x:c r="N26" s="49" t="n">
        <x:v>0</x:v>
      </x:c>
      <x:c r="O26" s="49" t="n">
        <x:v>69</x:v>
      </x:c>
      <x:c r="P26" s="49" t="n">
        <x:v>2</x:v>
      </x:c>
      <x:c r="Q26" s="49" t="n">
        <x:v>10</x:v>
      </x:c>
      <x:c r="R26" s="49" t="n">
        <x:v>1.52</x:v>
      </x:c>
      <x:c r="S26" s="49" t="n">
        <x:v>85</x:v>
      </x:c>
      <x:c r="T26" s="49" t="n">
        <x:v>38</x:v>
      </x:c>
      <x:c r="U26" s="49" t="n">
        <x:v>1</x:v>
      </x:c>
      <x:c r="V26" s="49" t="n">
        <x:v>0</x:v>
      </x:c>
      <x:c r="W26" s="14" t="str">
        <x:v>Regional WAFCT; Senegal pack candidate</x:v>
      </x:c>
      <x:c r="X26" s="14" t="str">
        <x:v>FAO/INFOODS Food Composition Table for Western Africa</x:v>
      </x:c>
      <x:c r="Y26" s="14" t="n">
        <x:v>2019</x:v>
      </x:c>
      <x:c r="Z26" s="14" t="str">
        <x:v>content.pdf</x:v>
      </x:c>
      <x:c r="AA26" s="14" t="str">
        <x:v>PUBLISHED_SOURCE</x:v>
      </x:c>
      <x:c r="AB26" s="14" t="str">
        <x:v>READY_WITH_SOURCE_FLAGS</x:v>
      </x:c>
    </x:row>
    <x:row r="27">
      <x:c r="A27" s="14" t="str">
        <x:v>SN-10-001</x:v>
      </x:c>
      <x:c r="B27" s="14" t="str">
        <x:v>SN</x:v>
      </x:c>
      <x:c r="C27" s="14" t="str">
        <x:v>10_001</x:v>
      </x:c>
      <x:c r="D27" s="14" t="str">
        <x:v>Milk, cow, whole, pasteurized or UHT, 3,5% fat</x:v>
      </x:c>
      <x:c r="E27" s="14"/>
      <x:c r="F27" s="14" t="str">
        <x:v>Dairy</x:v>
      </x:c>
      <x:c r="G27" s="14" t="str">
        <x:v>Pasteurized/UHT</x:v>
      </x:c>
      <x:c r="H27" s="14" t="str">
        <x:v>Ingredient</x:v>
      </x:c>
      <x:c r="I27" s="14" t="n">
        <x:v>100</x:v>
      </x:c>
      <x:c r="J27" s="49" t="n">
        <x:v>64</x:v>
      </x:c>
      <x:c r="K27" s="49" t="n">
        <x:v>3.3</x:v>
      </x:c>
      <x:c r="L27" s="49" t="n">
        <x:v>3.4</x:v>
      </x:c>
      <x:c r="M27" s="49" t="n">
        <x:v>5.1</x:v>
      </x:c>
      <x:c r="N27" s="49" t="n">
        <x:v>0</x:v>
      </x:c>
      <x:c r="O27" s="49" t="n">
        <x:v>119</x:v>
      </x:c>
      <x:c r="P27" s="49" t="n">
        <x:v>0.1</x:v>
      </x:c>
      <x:c r="Q27" s="49" t="n">
        <x:v>12</x:v>
      </x:c>
      <x:c r="R27" s="49" t="n">
        <x:v>0.63</x:v>
      </x:c>
      <x:c r="S27" s="49" t="n">
        <x:v>43</x:v>
      </x:c>
      <x:c r="T27" s="49" t="n">
        <x:v>8</x:v>
      </x:c>
      <x:c r="U27" s="49" t="n">
        <x:v>0.59</x:v>
      </x:c>
      <x:c r="V27" s="49" t="n">
        <x:v>0</x:v>
      </x:c>
      <x:c r="W27" s="14" t="str">
        <x:v>Regional WAFCT; Senegal pack candidate</x:v>
      </x:c>
      <x:c r="X27" s="14" t="str">
        <x:v>FAO/INFOODS Food Composition Table for Western Africa</x:v>
      </x:c>
      <x:c r="Y27" s="14" t="n">
        <x:v>2019</x:v>
      </x:c>
      <x:c r="Z27" s="14" t="str">
        <x:v>content.pdf</x:v>
      </x:c>
      <x:c r="AA27" s="14" t="str">
        <x:v>PUBLISHED_SOURCE</x:v>
      </x:c>
      <x:c r="AB27" s="14" t="str">
        <x:v>READY_WITH_SOURCE_FLAGS</x:v>
      </x:c>
    </x:row>
    <x:row r="28">
      <x:c r="A28" s="14" t="str">
        <x:v>SN-04-011</x:v>
      </x:c>
      <x:c r="B28" s="14" t="str">
        <x:v>SN</x:v>
      </x:c>
      <x:c r="C28" s="14" t="str">
        <x:v>04_011</x:v>
      </x:c>
      <x:c r="D28" s="14" t="str">
        <x:v>Moringa (drumstick), leaves, fresh, raw</x:v>
      </x:c>
      <x:c r="E28" s="14" t="str">
        <x:v>Moringa (ben oléifère). feuilles. fraîches. crues</x:v>
      </x:c>
      <x:c r="F28" s="14" t="str">
        <x:v>Vegetables</x:v>
      </x:c>
      <x:c r="G28" s="14" t="str">
        <x:v>Raw</x:v>
      </x:c>
      <x:c r="H28" s="14" t="str">
        <x:v>Ingredient</x:v>
      </x:c>
      <x:c r="I28" s="14" t="n">
        <x:v>100</x:v>
      </x:c>
      <x:c r="J28" s="49" t="n">
        <x:v>81</x:v>
      </x:c>
      <x:c r="K28" s="49" t="n">
        <x:v>8.4</x:v>
      </x:c>
      <x:c r="L28" s="49" t="n">
        <x:v>1.4</x:v>
      </x:c>
      <x:c r="M28" s="49" t="n">
        <x:v>4.5</x:v>
      </x:c>
      <x:c r="N28" s="49" t="n">
        <x:v>8.2</x:v>
      </x:c>
      <x:c r="O28" s="49" t="n">
        <x:v>595</x:v>
      </x:c>
      <x:c r="P28" s="49" t="n">
        <x:v>10.3</x:v>
      </x:c>
      <x:c r="Q28" s="49" t="n">
        <x:v>68</x:v>
      </x:c>
      <x:c r="R28" s="49" t="n">
        <x:v>1.2</x:v>
      </x:c>
      <x:c r="S28" s="49" t="n">
        <x:v>3280</x:v>
      </x:c>
      <x:c r="T28" s="49" t="n">
        <x:v>40</x:v>
      </x:c>
      <x:c r="U28" s="49" t="n">
        <x:v>0</x:v>
      </x:c>
      <x:c r="V28" s="49" t="n">
        <x:v>221</x:v>
      </x:c>
      <x:c r="W28" s="14" t="str">
        <x:v>Regional WAFCT; Senegal pack candidate</x:v>
      </x:c>
      <x:c r="X28" s="14" t="str">
        <x:v>FAO/INFOODS Food Composition Table for Western Africa</x:v>
      </x:c>
      <x:c r="Y28" s="14" t="n">
        <x:v>2019</x:v>
      </x:c>
      <x:c r="Z28" s="14" t="str">
        <x:v>content.pdf</x:v>
      </x:c>
      <x:c r="AA28" s="14" t="str">
        <x:v>PUBLISHED_SOURCE</x:v>
      </x:c>
      <x:c r="AB28" s="14" t="str">
        <x:v>READY_WITH_SOURCE_FLAGS</x:v>
      </x:c>
    </x:row>
    <x:row r="29">
      <x:c r="A29" s="14" t="str">
        <x:v>SN-02-070</x:v>
      </x:c>
      <x:c r="B29" s="14" t="str">
        <x:v>SN</x:v>
      </x:c>
      <x:c r="C29" s="14" t="str">
        <x:v>02_070</x:v>
      </x:c>
      <x:c r="D29" s="14" t="str">
        <x:v>Sweet potato, deep yellow flesh, boiled* (as part of a recipe)</x:v>
      </x:c>
      <x:c r="E29" s="14" t="str">
        <x:v>Patate douce. chair jaune foncé. bouillie* (ingrédient de recette)</x:v>
      </x:c>
      <x:c r="F29" s="14" t="str">
        <x:v>Roots &amp; tubers</x:v>
      </x:c>
      <x:c r="G29" s="14" t="str">
        <x:v>Boiled</x:v>
      </x:c>
      <x:c r="H29" s="14" t="str">
        <x:v>Ingredient</x:v>
      </x:c>
      <x:c r="I29" s="14" t="n">
        <x:v>100</x:v>
      </x:c>
      <x:c r="J29" s="49" t="n">
        <x:v>116</x:v>
      </x:c>
      <x:c r="K29" s="49" t="n">
        <x:v>1.6</x:v>
      </x:c>
      <x:c r="L29" s="49" t="n">
        <x:v>0.2</x:v>
      </x:c>
      <x:c r="M29" s="49" t="n">
        <x:v>25.5</x:v>
      </x:c>
      <x:c r="N29" s="49" t="n">
        <x:v>3</x:v>
      </x:c>
      <x:c r="O29" s="49" t="n">
        <x:v>33</x:v>
      </x:c>
      <x:c r="P29" s="49" t="n">
        <x:v>2</x:v>
      </x:c>
      <x:c r="Q29" s="49" t="n">
        <x:v>18</x:v>
      </x:c>
      <x:c r="R29" s="49" t="n">
        <x:v>0.54</x:v>
      </x:c>
      <x:c r="S29" s="49" t="n">
        <x:v>400</x:v>
      </x:c>
      <x:c r="T29" s="49" t="n">
        <x:v>20</x:v>
      </x:c>
      <x:c r="U29" s="49" t="n">
        <x:v>0</x:v>
      </x:c>
      <x:c r="V29" s="49" t="n">
        <x:v>33</x:v>
      </x:c>
      <x:c r="W29" s="14" t="str">
        <x:v>Regional WAFCT; Senegal pack candidate</x:v>
      </x:c>
      <x:c r="X29" s="14" t="str">
        <x:v>FAO/INFOODS Food Composition Table for Western Africa</x:v>
      </x:c>
      <x:c r="Y29" s="14" t="n">
        <x:v>2019</x:v>
      </x:c>
      <x:c r="Z29" s="14" t="str">
        <x:v>content.pdf</x:v>
      </x:c>
      <x:c r="AA29" s="14" t="str">
        <x:v>PUBLISHED_SOURCE</x:v>
      </x:c>
      <x:c r="AB29" s="14" t="str">
        <x:v>READY_WITH_SOURCE_FLAGS</x:v>
      </x:c>
    </x:row>
    <x:row r="30">
      <x:c r="A30" s="14" t="str">
        <x:v>SN-01-134</x:v>
      </x:c>
      <x:c r="B30" s="14" t="str">
        <x:v>SN</x:v>
      </x:c>
      <x:c r="C30" s="14" t="str">
        <x:v>01_134</x:v>
      </x:c>
      <x:c r="D30" s="14" t="str">
        <x:v>Rice, white, polished, boiled* (as part of a recipe)</x:v>
      </x:c>
      <x:c r="E30" s="14" t="str">
        <x:v>Riz. blanc. poli. bouilli* (ingrédient de recette)</x:v>
      </x:c>
      <x:c r="F30" s="14" t="str">
        <x:v>Cereals</x:v>
      </x:c>
      <x:c r="G30" s="14" t="str">
        <x:v>Boiled</x:v>
      </x:c>
      <x:c r="H30" s="14" t="str">
        <x:v>Ingredient</x:v>
      </x:c>
      <x:c r="I30" s="14" t="n">
        <x:v>100</x:v>
      </x:c>
      <x:c r="J30" s="49" t="n">
        <x:v>118</x:v>
      </x:c>
      <x:c r="K30" s="49" t="n">
        <x:v>2.3</x:v>
      </x:c>
      <x:c r="L30" s="49" t="n">
        <x:v>0.2</x:v>
      </x:c>
      <x:c r="M30" s="49" t="n">
        <x:v>26.4</x:v>
      </x:c>
      <x:c r="N30" s="49" t="n">
        <x:v>0.6</x:v>
      </x:c>
      <x:c r="O30" s="49" t="n">
        <x:v>3</x:v>
      </x:c>
      <x:c r="P30" s="49" t="n">
        <x:v>0.4</x:v>
      </x:c>
      <x:c r="Q30" s="49" t="n">
        <x:v>8</x:v>
      </x:c>
      <x:c r="R30" s="49" t="n">
        <x:v>0.42</x:v>
      </x:c>
      <x:c r="S30" s="49" t="n">
        <x:v>0</x:v>
      </x:c>
      <x:c r="T30" s="49" t="n">
        <x:v>3</x:v>
      </x:c>
      <x:c r="U30" s="49" t="n">
        <x:v>0</x:v>
      </x:c>
      <x:c r="V30" s="49" t="n">
        <x:v>0</x:v>
      </x:c>
      <x:c r="W30" s="14" t="str">
        <x:v>Regional WAFCT; Senegal pack candidate</x:v>
      </x:c>
      <x:c r="X30" s="14" t="str">
        <x:v>FAO/INFOODS Food Composition Table for Western Africa</x:v>
      </x:c>
      <x:c r="Y30" s="14" t="n">
        <x:v>2019</x:v>
      </x:c>
      <x:c r="Z30" s="14" t="str">
        <x:v>content.pdf</x:v>
      </x:c>
      <x:c r="AA30" s="14" t="str">
        <x:v>PUBLISHED_SOURCE</x:v>
      </x:c>
      <x:c r="AB30" s="14" t="str">
        <x:v>READY_WITH_SOURCE_FLAGS</x:v>
      </x:c>
    </x:row>
  </x:sheetData>
  <x:conditionalFormatting sqref="AB2:AB30">
    <x:cfRule type="expression" dxfId="0" priority="1">
      <x:formula>ISNUMBER(SEARCH("PENDING",AB2))</x:formula>
    </x:cfRule>
    <x:cfRule type="expression" dxfId="1" priority="2">
      <x:formula>ISNUMBER(SEARCH("READY",AB2))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4e323be75e4c0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8" hidden="0" customWidth="1"/>
    <x:col min="6" max="6" width="42" hidden="0" customWidth="1"/>
  </x:cols>
  <x:sheetData>
    <x:row r="1">
      <x:c r="A1" s="54" t="str">
        <x:v>Pikabora v0.4 — Priority Maternal Nutrition Ingestion</x:v>
      </x:c>
      <x:c r="B1" s="54"/>
      <x:c r="C1" s="54"/>
      <x:c r="D1" s="54"/>
      <x:c r="E1" s="54"/>
      <x:c r="F1" s="54"/>
    </x:row>
    <x:row r="2">
      <x:c r="A2" s="14"/>
      <x:c r="B2" s="14"/>
      <x:c r="C2" s="14"/>
      <x:c r="D2" s="14"/>
      <x:c r="E2" s="14"/>
      <x:c r="F2" s="14"/>
    </x:row>
    <x:row r="3">
      <x:c r="A3" s="55" t="str">
        <x:v>Metric</x:v>
      </x:c>
      <x:c r="B3" s="55" t="str">
        <x:v>Value</x:v>
      </x:c>
      <x:c r="C3" s="14"/>
      <x:c r="D3" s="55" t="str">
        <x:v>Country</x:v>
      </x:c>
      <x:c r="E3" s="55" t="str">
        <x:v>Source</x:v>
      </x:c>
      <x:c r="F3" s="55" t="str">
        <x:v>Status</x:v>
      </x:c>
    </x:row>
    <x:row r="4">
      <x:c r="A4" s="14" t="str">
        <x:v>Priority records</x:v>
      </x:c>
      <x:c r="B4" s="14" t="n">
        <x:v>29</x:v>
      </x:c>
      <x:c r="C4" s="14"/>
      <x:c r="D4" s="14" t="str">
        <x:v>Kenya</x:v>
      </x:c>
      <x:c r="E4" s="14" t="str">
        <x:v>KFCT 2018</x:v>
      </x:c>
      <x:c r="F4" s="14" t="str">
        <x:v>Priority macro + micronutrient ingestion</x:v>
      </x:c>
    </x:row>
    <x:row r="5">
      <x:c r="A5" s="14" t="str">
        <x:v>Kenya records</x:v>
      </x:c>
      <x:c r="B5" s="14" t="n">
        <x:v>9</x:v>
      </x:c>
      <x:c r="C5" s="14"/>
      <x:c r="D5" s="14" t="str">
        <x:v>Nigeria</x:v>
      </x:c>
      <x:c r="E5" s="14" t="str">
        <x:v>NFCT 2016</x:v>
      </x:c>
      <x:c r="F5" s="14" t="str">
        <x:v>Priority macros ingested; micronutrient alignment pending QA</x:v>
      </x:c>
    </x:row>
    <x:row r="6">
      <x:c r="A6" s="14" t="str">
        <x:v>Nigeria records</x:v>
      </x:c>
      <x:c r="B6" s="14" t="n">
        <x:v>10</x:v>
      </x:c>
      <x:c r="C6" s="14"/>
      <x:c r="D6" s="14" t="str">
        <x:v>Senegal</x:v>
      </x:c>
      <x:c r="E6" s="14" t="str">
        <x:v>WAFCT 2019</x:v>
      </x:c>
      <x:c r="F6" s="14" t="str">
        <x:v>Regional records ingested; Senegal applicability retained</x:v>
      </x:c>
    </x:row>
    <x:row r="7">
      <x:c r="A7" s="14" t="str">
        <x:v>Senegal/WAFCT records</x:v>
      </x:c>
      <x:c r="B7" s="14" t="n">
        <x:v>10</x:v>
      </x:c>
      <x:c r="C7" s="14"/>
      <x:c r="D7" s="14" t="str">
        <x:v>Standard</x:v>
      </x:c>
      <x:c r="E7" s="14" t="str">
        <x:v>INFOODS</x:v>
      </x:c>
      <x:c r="F7" s="14" t="str">
        <x:v>Canonical nutrient tags/basis retained</x:v>
      </x:c>
    </x:row>
    <x:row r="8">
      <x:c r="A8" s="14" t="str">
        <x:v>Core nutrient fields</x:v>
      </x:c>
      <x:c r="B8" s="14" t="n">
        <x:v>13</x:v>
      </x:c>
      <x:c r="C8" s="14"/>
      <x:c r="D8" s="14"/>
      <x:c r="E8" s="14"/>
      <x:c r="F8" s="14"/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47" t="str">
        <x:v>Rule</x:v>
      </x:c>
      <x:c r="B1" s="47" t="str">
        <x:v>Implementation</x:v>
      </x:c>
      <x:c r="C1" s="47" t="str">
        <x:v>Why it matters</x:v>
      </x:c>
    </x:row>
    <x:row r="2">
      <x:c r="A2" s="14" t="str">
        <x:v>Country separation</x:v>
      </x:c>
      <x:c r="B2" s="14" t="str">
        <x:v>Nutrient values remain attached to their original country/source record.</x:v>
      </x:c>
      <x:c r="C2" s="14" t="str">
        <x:v>Prevents cross-country values being treated as interchangeable.</x:v>
      </x:c>
    </x:row>
    <x:row r="3">
      <x:c r="A3" s="14" t="str">
        <x:v>Basis</x:v>
      </x:c>
      <x:c r="B3" s="14" t="str">
        <x:v>All priority nutrient values are stored per 100 g edible portion where supported by source.</x:v>
      </x:c>
      <x:c r="C3" s="14" t="str">
        <x:v>Allows consistent downstream calculation.</x:v>
      </x:c>
    </x:row>
    <x:row r="4">
      <x:c r="A4" s="14" t="str">
        <x:v>INFOODS</x:v>
      </x:c>
      <x:c r="B4" s="14" t="str">
        <x:v>Canonical nutrient fields map to INFOODS identifiers in Nutrient Dictionary.</x:v>
      </x:c>
      <x:c r="C4" s="14" t="str">
        <x:v>Supports harmonisation without losing source semantics.</x:v>
      </x:c>
    </x:row>
    <x:row r="5">
      <x:c r="A5" s="14" t="str">
        <x:v>Kenya</x:v>
      </x:c>
      <x:c r="B5" s="14" t="str">
        <x:v>KFCT values transcribed from official 2018 table.</x:v>
      </x:c>
      <x:c r="C5" s="14" t="str">
        <x:v>National source.</x:v>
      </x:c>
    </x:row>
    <x:row r="6">
      <x:c r="A6" s="14" t="str">
        <x:v>Nigeria</x:v>
      </x:c>
      <x:c r="B6" s="14" t="str">
        <x:v>Macros are ingested for selected priority foods; micronutrients are intentionally blank until row alignment is verified.</x:v>
      </x:c>
      <x:c r="C6" s="14" t="str">
        <x:v>Avoids silently misaligning values from the PDF table.</x:v>
      </x:c>
    </x:row>
    <x:row r="7">
      <x:c r="A7" s="14" t="str">
        <x:v>Senegal</x:v>
      </x:c>
      <x:c r="B7" s="14" t="str">
        <x:v>WAFCT records are tagged as regional source / Senegal-pack candidates, not falsely labelled national Senegal data.</x:v>
      </x:c>
      <x:c r="C7" s="14" t="str">
        <x:v>Preserves provenance.</x:v>
      </x:c>
    </x:row>
    <x:row r="8">
      <x:c r="A8" s="14" t="str">
        <x:v>Trace/missing</x:v>
      </x:c>
      <x:c r="B8" s="14" t="str">
        <x:v>Trace, not detected, and missing are not converted to zero automatically.</x:v>
      </x:c>
      <x:c r="C8" s="14" t="str">
        <x:v>Missing is not zero.</x:v>
      </x:c>
    </x:row>
    <x:row r="9">
      <x:c r="A9" s="14" t="str">
        <x:v>Recommendation readiness</x:v>
      </x:c>
      <x:c r="B9" s="14" t="str">
        <x:v>Rows carry an explicit readiness state for downstream engine use.</x:v>
      </x:c>
      <x:c r="C9" s="14" t="str">
        <x:v>Prevents unverified values feeding recommendations.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</x:cols>
  <x:sheetData>
    <x:row r="1">
      <x:c r="A1" s="62" t="str">
        <x:v>Meal_ID</x:v>
      </x:c>
      <x:c r="B1" s="62" t="str">
        <x:v>Country</x:v>
      </x:c>
      <x:c r="C1" s="62" t="str">
        <x:v>Meal_Name</x:v>
      </x:c>
      <x:c r="D1" s="62" t="str">
        <x:v>Local_Name</x:v>
      </x:c>
      <x:c r="E1" s="62" t="str">
        <x:v>Meal_Type</x:v>
      </x:c>
      <x:c r="F1" s="62" t="str">
        <x:v>Primary_Staple</x:v>
      </x:c>
      <x:c r="G1" s="62" t="str">
        <x:v>Protein_Component</x:v>
      </x:c>
      <x:c r="H1" s="62" t="str">
        <x:v>Vegetable_Fruit_Component</x:v>
      </x:c>
      <x:c r="I1" s="62" t="str">
        <x:v>Optional_Addition</x:v>
      </x:c>
      <x:c r="J1" s="62" t="str">
        <x:v>Maternal_Nutrition_Strength</x:v>
      </x:c>
      <x:c r="K1" s="62" t="str">
        <x:v>Likely_Gap</x:v>
      </x:c>
      <x:c r="L1" s="62" t="str">
        <x:v>Improvement_Action</x:v>
      </x:c>
      <x:c r="M1" s="62" t="str">
        <x:v>Budget_Band</x:v>
      </x:c>
      <x:c r="N1" s="62" t="str">
        <x:v>Source_Basis</x:v>
      </x:c>
      <x:c r="O1" s="62" t="str">
        <x:v>Validation_Status</x:v>
      </x:c>
      <x:c r="P1" s="62" t="str">
        <x:v>Engine_Ready</x:v>
      </x:c>
    </x:row>
    <x:row r="2">
      <x:c r="A2" s="14" t="str">
        <x:v>KE-M001</x:v>
      </x:c>
      <x:c r="B2" s="14" t="str">
        <x:v>Kenya</x:v>
      </x:c>
      <x:c r="C2" s="14" t="str">
        <x:v>Ugali + sukuma wiki + egg</x:v>
      </x:c>
      <x:c r="D2" s="14" t="str">
        <x:v>Ugali na sukuma wiki na yai</x:v>
      </x:c>
      <x:c r="E2" s="14" t="str">
        <x:v>Main meal</x:v>
      </x:c>
      <x:c r="F2" s="14" t="str">
        <x:v>Whole/refined maize ugali</x:v>
      </x:c>
      <x:c r="G2" s="14" t="str">
        <x:v>Egg</x:v>
      </x:c>
      <x:c r="H2" s="14" t="str">
        <x:v>Sukuma wiki</x:v>
      </x:c>
      <x:c r="I2" s="14" t="str">
        <x:v>Avocado or fruit</x:v>
      </x:c>
      <x:c r="J2" s="14" t="str">
        <x:v>Protein + leafy vegetables + dietary diversity</x:v>
      </x:c>
      <x:c r="K2" s="14" t="str">
        <x:v>Iron/folate adequacy depends on portion and full-day diet</x:v>
      </x:c>
      <x:c r="L2" s="14" t="str">
        <x:v>Add beans or another iron-rich food; pair plant iron with vitamin-C-rich fruit</x:v>
      </x:c>
      <x:c r="M2" s="14" t="str">
        <x:v>Low–Medium</x:v>
      </x:c>
      <x:c r="N2" s="14" t="str">
        <x:v>KFCT mixed dishes + Pikabora combination</x:v>
      </x:c>
      <x:c r="O2" s="14" t="str">
        <x:v>RULE_REVIEW</x:v>
      </x:c>
      <x:c r="P2" s="14" t="str">
        <x:v>YES_WITH_GUARDRAILS</x:v>
      </x:c>
    </x:row>
    <x:row r="3">
      <x:c r="A3" s="14" t="str">
        <x:v>KE-M002</x:v>
      </x:c>
      <x:c r="B3" s="14" t="str">
        <x:v>Kenya</x:v>
      </x:c>
      <x:c r="C3" s="14" t="str">
        <x:v>Githeri + leafy greens + avocado</x:v>
      </x:c>
      <x:c r="D3" s="14" t="str">
        <x:v>Githeri</x:v>
      </x:c>
      <x:c r="E3" s="14" t="str">
        <x:v>Main meal</x:v>
      </x:c>
      <x:c r="F3" s="14" t="str">
        <x:v>Maize</x:v>
      </x:c>
      <x:c r="G3" s="14" t="str">
        <x:v>Beans</x:v>
      </x:c>
      <x:c r="H3" s="14" t="str">
        <x:v>Leafy greens</x:v>
      </x:c>
      <x:c r="I3" s="14" t="str">
        <x:v>Avocado</x:v>
      </x:c>
      <x:c r="J3" s="14" t="str">
        <x:v>Legume protein + fibre + food-group diversity</x:v>
      </x:c>
      <x:c r="K3" s="14" t="str">
        <x:v>Vitamin B12 may be low if no animal-source food elsewhere</x:v>
      </x:c>
      <x:c r="L3" s="14" t="str">
        <x:v>Add egg, milk, fish or another appropriate animal-source food when available</x:v>
      </x:c>
      <x:c r="M3" s="14" t="str">
        <x:v>Low–Medium</x:v>
      </x:c>
      <x:c r="N3" s="14" t="str">
        <x:v>KFCT mixed dish 15053 + Pikabora combination</x:v>
      </x:c>
      <x:c r="O3" s="14" t="str">
        <x:v>RULE_REVIEW</x:v>
      </x:c>
      <x:c r="P3" s="14" t="str">
        <x:v>YES_WITH_GUARDRAILS</x:v>
      </x:c>
    </x:row>
    <x:row r="4">
      <x:c r="A4" s="14" t="str">
        <x:v>KE-M003</x:v>
      </x:c>
      <x:c r="B4" s="14" t="str">
        <x:v>Kenya</x:v>
      </x:c>
      <x:c r="C4" s="14" t="str">
        <x:v>Rice + green gram stew + sukuma wiki</x:v>
      </x:c>
      <x:c r="D4" s="14" t="str">
        <x:v>Mseto / wali na ndengu</x:v>
      </x:c>
      <x:c r="E4" s="14" t="str">
        <x:v>Main meal</x:v>
      </x:c>
      <x:c r="F4" s="14" t="str">
        <x:v>Rice</x:v>
      </x:c>
      <x:c r="G4" s="14" t="str">
        <x:v>Green grams</x:v>
      </x:c>
      <x:c r="H4" s="14" t="str">
        <x:v>Sukuma wiki</x:v>
      </x:c>
      <x:c r="I4" s="14" t="str">
        <x:v>Legume protein + vegetables</x:v>
      </x:c>
      <x:c r="J4" s="14" t="str">
        <x:v>B12 and calcium may need support across the day</x:v>
      </x:c>
      <x:c r="K4" s="14" t="str">
        <x:v>Add milk/yoghurt or egg; include fruit</x:v>
      </x:c>
      <x:c r="L4" s="14" t="str">
        <x:v>Low–Medium</x:v>
      </x:c>
      <x:c r="M4" s="14" t="str">
        <x:v>KFCT 15037/15044/15031 family</x:v>
      </x:c>
      <x:c r="N4" s="14" t="str">
        <x:v>RULE_REVIEW</x:v>
      </x:c>
      <x:c r="O4" s="14" t="str">
        <x:v>YES_WITH_GUARDRAILS</x:v>
      </x:c>
      <x:c r="P4" s="14"/>
    </x:row>
    <x:row r="5">
      <x:c r="A5" s="14" t="str">
        <x:v>KE-M004</x:v>
      </x:c>
      <x:c r="B5" s="14" t="str">
        <x:v>Kenya</x:v>
      </x:c>
      <x:c r="C5" s="14" t="str">
        <x:v>Finger millet porridge + milk + groundnuts</x:v>
      </x:c>
      <x:c r="D5" s="14" t="str">
        <x:v>Uji wa wimbi</x:v>
      </x:c>
      <x:c r="E5" s="14" t="str">
        <x:v>Breakfast</x:v>
      </x:c>
      <x:c r="F5" s="14" t="str">
        <x:v>Finger millet porridge</x:v>
      </x:c>
      <x:c r="G5" s="14" t="str">
        <x:v>Milk + groundnuts</x:v>
      </x:c>
      <x:c r="H5" s="14" t="str">
        <x:v>Optional fruit</x:v>
      </x:c>
      <x:c r="I5" s="14" t="str">
        <x:v>Banana/papaya</x:v>
      </x:c>
      <x:c r="J5" s="14" t="str">
        <x:v>Energy + protein + calcium contribution</x:v>
      </x:c>
      <x:c r="K5" s="14" t="str">
        <x:v>Iron bioavailability can be limited by phytate</x:v>
      </x:c>
      <x:c r="L5" s="14" t="str">
        <x:v>Add vitamin-C-rich fruit; do not treat porridge alone as a complete pregnancy meal</x:v>
      </x:c>
      <x:c r="M5" s="14" t="str">
        <x:v>Low</x:v>
      </x:c>
      <x:c r="N5" s="14" t="str">
        <x:v>KFCT 15014 + food records</x:v>
      </x:c>
      <x:c r="O5" s="14" t="str">
        <x:v>RULE_REVIEW</x:v>
      </x:c>
      <x:c r="P5" s="14" t="str">
        <x:v>YES_WITH_GUARDRAILS</x:v>
      </x:c>
    </x:row>
    <x:row r="6">
      <x:c r="A6" s="14" t="str">
        <x:v>KE-M005</x:v>
      </x:c>
      <x:c r="B6" s="14" t="str">
        <x:v>Kenya</x:v>
      </x:c>
      <x:c r="C6" s="14" t="str">
        <x:v>Sweet potato + bean stew + amaranth leaves</x:v>
      </x:c>
      <x:c r="D6" s="14" t="str"/>
      <x:c r="E6" s="14" t="str">
        <x:v>Main meal</x:v>
      </x:c>
      <x:c r="F6" s="14" t="str">
        <x:v>Sweet potato</x:v>
      </x:c>
      <x:c r="G6" s="14" t="str">
        <x:v>Bean stew</x:v>
      </x:c>
      <x:c r="H6" s="14" t="str">
        <x:v>Amaranth leaves</x:v>
      </x:c>
      <x:c r="I6" s="14" t="str">
        <x:v>Fruit</x:v>
      </x:c>
      <x:c r="J6" s="14" t="str">
        <x:v>Legumes + leafy vegetables + vitamin-A-rich staple where yellow-fleshed</x:v>
      </x:c>
      <x:c r="K6" s="14" t="str">
        <x:v>B12 may be low</x:v>
      </x:c>
      <x:c r="L6" s="14" t="str">
        <x:v>Add egg/fish/milk where appropriate</x:v>
      </x:c>
      <x:c r="M6" s="14" t="str">
        <x:v>Low</x:v>
      </x:c>
      <x:c r="N6" s="14" t="str">
        <x:v>KFCT foods + mixed-dish framework</x:v>
      </x:c>
      <x:c r="O6" s="14" t="str">
        <x:v>RULE_REVIEW</x:v>
      </x:c>
      <x:c r="P6" s="14" t="str">
        <x:v>YES_WITH_GUARDRAILS</x:v>
      </x:c>
    </x:row>
    <x:row r="7">
      <x:c r="A7" s="14" t="str">
        <x:v>KE-M006</x:v>
      </x:c>
      <x:c r="B7" s="14" t="str">
        <x:v>Kenya</x:v>
      </x:c>
      <x:c r="C7" s="14" t="str">
        <x:v>Pilau + bean/green gram stew + vegetables</x:v>
      </x:c>
      <x:c r="D7" s="14" t="str">
        <x:v>Pilau</x:v>
      </x:c>
      <x:c r="E7" s="14" t="str">
        <x:v>Main meal</x:v>
      </x:c>
      <x:c r="F7" s="14" t="str">
        <x:v>Pilau</x:v>
      </x:c>
      <x:c r="G7" s="14" t="str">
        <x:v>Beans or green grams</x:v>
      </x:c>
      <x:c r="H7" s="14" t="str">
        <x:v>Vegetables</x:v>
      </x:c>
      <x:c r="I7" s="14" t="str">
        <x:v>Fruit</x:v>
      </x:c>
      <x:c r="J7" s="14" t="str">
        <x:v>Energy + legumes + diversity</x:v>
      </x:c>
      <x:c r="K7" s="14" t="str">
        <x:v>Meal may be vegetable-light if served alone</x:v>
      </x:c>
      <x:c r="L7" s="14" t="str">
        <x:v>Add a leafy vegetable side and fruit</x:v>
      </x:c>
      <x:c r="M7" s="14" t="str">
        <x:v>Medium</x:v>
      </x:c>
      <x:c r="N7" s="14" t="str">
        <x:v>KFCT mixed dish 15036 + stew records</x:v>
      </x:c>
      <x:c r="O7" s="14" t="str">
        <x:v>RULE_REVIEW</x:v>
      </x:c>
      <x:c r="P7" s="14" t="str">
        <x:v>YES_WITH_GUARDRAILS</x:v>
      </x:c>
    </x:row>
    <x:row r="8">
      <x:c r="A8" s="14" t="str">
        <x:v>NG-M001</x:v>
      </x:c>
      <x:c r="B8" s="14" t="str">
        <x:v>Nigeria</x:v>
      </x:c>
      <x:c r="C8" s="14" t="str">
        <x:v>Yam + beans + leafy vegetable</x:v>
      </x:c>
      <x:c r="D8" s="14" t="str">
        <x:v>Ji/Isu + beans</x:v>
      </x:c>
      <x:c r="E8" s="14" t="str">
        <x:v>Main meal</x:v>
      </x:c>
      <x:c r="F8" s="14" t="str">
        <x:v>Yam</x:v>
      </x:c>
      <x:c r="G8" s="14" t="str">
        <x:v>Beans</x:v>
      </x:c>
      <x:c r="H8" s="14" t="str">
        <x:v>Leafy vegetable</x:v>
      </x:c>
      <x:c r="I8" s="14" t="str">
        <x:v>Orange/guava</x:v>
      </x:c>
      <x:c r="J8" s="14" t="str">
        <x:v>Energy + legume protein + vegetables</x:v>
      </x:c>
      <x:c r="K8" s="14" t="str">
        <x:v>B12 may be low</x:v>
      </x:c>
      <x:c r="L8" s="14" t="str">
        <x:v>Add egg, fish or milk where available; fruit can support vitamin C intake</x:v>
      </x:c>
      <x:c r="M8" s="14" t="str">
        <x:v>Low–Medium</x:v>
      </x:c>
      <x:c r="N8" s="14" t="str">
        <x:v>NFCT food records + Pikabora combination</x:v>
      </x:c>
      <x:c r="O8" s="14" t="str">
        <x:v>RULE_REVIEW</x:v>
      </x:c>
      <x:c r="P8" s="14" t="str">
        <x:v>YES_WITH_GUARDRAILS</x:v>
      </x:c>
    </x:row>
    <x:row r="9">
      <x:c r="A9" s="14" t="str">
        <x:v>NG-M002</x:v>
      </x:c>
      <x:c r="B9" s="14" t="str">
        <x:v>Nigeria</x:v>
      </x:c>
      <x:c r="C9" s="14" t="str">
        <x:v>Eba + vegetable soup + fish</x:v>
      </x:c>
      <x:c r="D9" s="14" t="str">
        <x:v>Eba</x:v>
      </x:c>
      <x:c r="E9" s="14" t="str">
        <x:v>Main meal</x:v>
      </x:c>
      <x:c r="F9" s="14" t="str">
        <x:v>Eba</x:v>
      </x:c>
      <x:c r="G9" s="14" t="str">
        <x:v>Fish</x:v>
      </x:c>
      <x:c r="H9" s="14" t="str">
        <x:v>Leafy vegetable soup</x:v>
      </x:c>
      <x:c r="I9" s="14" t="str">
        <x:v>Fruit</x:v>
      </x:c>
      <x:c r="J9" s="14" t="str">
        <x:v>Protein + vegetables; culturally familiar staple meal</x:v>
      </x:c>
      <x:c r="K9" s="14" t="str">
        <x:v>Nutrient profile varies greatly with soup recipe and portion</x:v>
      </x:c>
      <x:c r="L9" s="14" t="str">
        <x:v>Prefer a vegetable-rich soup and retain source-specific recipe values when available</x:v>
      </x:c>
      <x:c r="M9" s="14" t="str">
        <x:v>Medium</x:v>
      </x:c>
      <x:c r="N9" s="14" t="str">
        <x:v>NFCT eba + vegetables + fish</x:v>
      </x:c>
      <x:c r="O9" s="14" t="str">
        <x:v>RULE_REVIEW</x:v>
      </x:c>
      <x:c r="P9" s="14" t="str">
        <x:v>YES_WITH_GUARDRAILS</x:v>
      </x:c>
    </x:row>
    <x:row r="10">
      <x:c r="A10" s="14" t="str">
        <x:v>NG-M003</x:v>
      </x:c>
      <x:c r="B10" s="14" t="str">
        <x:v>Nigeria</x:v>
      </x:c>
      <x:c r="C10" s="14" t="str">
        <x:v>Rice + beans + vegetables</x:v>
      </x:c>
      <x:c r="D10" s="14" t="str"/>
      <x:c r="E10" s="14" t="str">
        <x:v>Main meal</x:v>
      </x:c>
      <x:c r="F10" s="14" t="str">
        <x:v>Rice</x:v>
      </x:c>
      <x:c r="G10" s="14" t="str">
        <x:v>Beans</x:v>
      </x:c>
      <x:c r="H10" s="14" t="str">
        <x:v>Vegetables</x:v>
      </x:c>
      <x:c r="I10" s="14" t="str">
        <x:v>Egg or fish</x:v>
      </x:c>
      <x:c r="J10" s="14" t="str">
        <x:v>Legume protein + fibre + diversity</x:v>
      </x:c>
      <x:c r="K10" s="14" t="str">
        <x:v>B12 may be low without animal-source food</x:v>
      </x:c>
      <x:c r="L10" s="14" t="str">
        <x:v>Add egg/fish where available and a vegetable side</x:v>
      </x:c>
      <x:c r="M10" s="14" t="str">
        <x:v>Low–Medium</x:v>
      </x:c>
      <x:c r="N10" s="14" t="str">
        <x:v>NFCT foods + Pikabora combination</x:v>
      </x:c>
      <x:c r="O10" s="14" t="str">
        <x:v>RULE_REVIEW</x:v>
      </x:c>
      <x:c r="P10" s="14" t="str">
        <x:v>YES_WITH_GUARDRAILS</x:v>
      </x:c>
    </x:row>
    <x:row r="11">
      <x:c r="A11" s="14" t="str">
        <x:v>NG-M004</x:v>
      </x:c>
      <x:c r="B11" s="14" t="str">
        <x:v>Nigeria</x:v>
      </x:c>
      <x:c r="C11" s="14" t="str">
        <x:v>Moi-moi + pap/ogi + fruit</x:v>
      </x:c>
      <x:c r="D11" s="14" t="str">
        <x:v>Moin-moin + Ogi</x:v>
      </x:c>
      <x:c r="E11" s="14" t="str">
        <x:v>Breakfast/light meal</x:v>
      </x:c>
      <x:c r="F11" s="14" t="str">
        <x:v>Ogi</x:v>
      </x:c>
      <x:c r="G11" s="14" t="str">
        <x:v>Moi-moi</x:v>
      </x:c>
      <x:c r="H11" s="14" t="str">
        <x:v>Fruit</x:v>
      </x:c>
      <x:c r="I11" s="14" t="str">
        <x:v>Milk optional</x:v>
      </x:c>
      <x:c r="J11" s="14" t="str">
        <x:v>Legume protein + energy; fruit improves diversity</x:v>
      </x:c>
      <x:c r="K11" s="14" t="str">
        <x:v>Calcium/B12 depend on additions</x:v>
      </x:c>
      <x:c r="L11" s="14" t="str">
        <x:v>Add milk/yoghurt or egg where suitable</x:v>
      </x:c>
      <x:c r="M11" s="14" t="str">
        <x:v>Low–Medium</x:v>
      </x:c>
      <x:c r="N11" s="14" t="str">
        <x:v>NFCT Ogi + Moin-Moin</x:v>
      </x:c>
      <x:c r="O11" s="14" t="str">
        <x:v>RULE_REVIEW</x:v>
      </x:c>
      <x:c r="P11" s="14" t="str">
        <x:v>YES_WITH_GUARDRAILS</x:v>
      </x:c>
    </x:row>
    <x:row r="12">
      <x:c r="A12" s="14" t="str">
        <x:v>NG-M005</x:v>
      </x:c>
      <x:c r="B12" s="14" t="str">
        <x:v>Nigeria</x:v>
      </x:c>
      <x:c r="C12" s="14" t="str">
        <x:v>Jollof rice + egg + vegetables</x:v>
      </x:c>
      <x:c r="D12" s="14" t="str">
        <x:v>Jollof rice</x:v>
      </x:c>
      <x:c r="E12" s="14" t="str">
        <x:v>Main meal</x:v>
      </x:c>
      <x:c r="F12" s="14" t="str">
        <x:v>Jollof rice</x:v>
      </x:c>
      <x:c r="G12" s="14" t="str">
        <x:v>Egg</x:v>
      </x:c>
      <x:c r="H12" s="14" t="str">
        <x:v>Vegetables</x:v>
      </x:c>
      <x:c r="I12" s="14" t="str">
        <x:v>Fruit</x:v>
      </x:c>
      <x:c r="J12" s="14" t="str">
        <x:v>Energy + protein + improved diversity versus rice alone</x:v>
      </x:c>
      <x:c r="K12" s="14" t="str">
        <x:v>Leafy vegetables/legumes may still be limited</x:v>
      </x:c>
      <x:c r="L12" s="14" t="str">
        <x:v>Add beans or leafy vegetable side</x:v>
      </x:c>
      <x:c r="M12" s="14" t="str">
        <x:v>Medium</x:v>
      </x:c>
      <x:c r="N12" s="14" t="str">
        <x:v>NFCT Jollof rice + egg/vegetable records</x:v>
      </x:c>
      <x:c r="O12" s="14" t="str">
        <x:v>RULE_REVIEW</x:v>
      </x:c>
      <x:c r="P12" s="14" t="str">
        <x:v>YES_WITH_GUARDRAILS</x:v>
      </x:c>
    </x:row>
    <x:row r="13">
      <x:c r="A13" s="14" t="str">
        <x:v>NG-M006</x:v>
      </x:c>
      <x:c r="B13" s="14" t="str">
        <x:v>Nigeria</x:v>
      </x:c>
      <x:c r="C13" s="14" t="str">
        <x:v>Plantain + beans + leafy greens</x:v>
      </x:c>
      <x:c r="D13" s="14" t="str"/>
      <x:c r="E13" s="14" t="str">
        <x:v>Main meal</x:v>
      </x:c>
      <x:c r="F13" s="14" t="str">
        <x:v>Plantain</x:v>
      </x:c>
      <x:c r="G13" s="14" t="str">
        <x:v>Beans</x:v>
      </x:c>
      <x:c r="H13" s="14" t="str">
        <x:v>Leafy greens</x:v>
      </x:c>
      <x:c r="I13" s="14" t="str">
        <x:v>Fish optional</x:v>
      </x:c>
      <x:c r="J13" s="14" t="str">
        <x:v>Legume protein + fibre + vegetables</x:v>
      </x:c>
      <x:c r="K13" s="14" t="str">
        <x:v>B12 may be low without animal-source food</x:v>
      </x:c>
      <x:c r="L13" s="14" t="str">
        <x:v>Add fish/egg where available</x:v>
      </x:c>
      <x:c r="M13" s="14" t="str">
        <x:v>Low–Medium</x:v>
      </x:c>
      <x:c r="N13" s="14" t="str">
        <x:v>NFCT food records</x:v>
      </x:c>
      <x:c r="O13" s="14" t="str">
        <x:v>RULE_REVIEW</x:v>
      </x:c>
      <x:c r="P13" s="14" t="str">
        <x:v>YES_WITH_GUARDRAILS</x:v>
      </x:c>
    </x:row>
    <x:row r="14">
      <x:c r="A14" s="14" t="str">
        <x:v>SN-M001</x:v>
      </x:c>
      <x:c r="B14" s="14" t="str">
        <x:v>Senegal</x:v>
      </x:c>
      <x:c r="C14" s="14" t="str">
        <x:v>Millet couscous + cowpeas + vegetable/fish sauce</x:v>
      </x:c>
      <x:c r="D14" s="14" t="str"/>
      <x:c r="E14" s="14" t="str">
        <x:v>Main meal</x:v>
      </x:c>
      <x:c r="F14" s="14" t="str">
        <x:v>Millet</x:v>
      </x:c>
      <x:c r="G14" s="14" t="str">
        <x:v>Cowpeas + fish</x:v>
      </x:c>
      <x:c r="H14" s="14" t="str">
        <x:v>Vegetable sauce</x:v>
      </x:c>
      <x:c r="I14" s="14" t="str">
        <x:v>Fruit</x:v>
      </x:c>
      <x:c r="J14" s="14" t="str">
        <x:v>Cereal-legume complement + fish + vegetables</x:v>
      </x:c>
      <x:c r="K14" s="14" t="str">
        <x:v>Exact nutrient profile depends on recipe</x:v>
      </x:c>
      <x:c r="L14" s="14" t="str">
        <x:v>Use WAFCT recipe-specific values when matched; otherwise calculate ingredients separately</x:v>
      </x:c>
      <x:c r="M14" s="14" t="str">
        <x:v>Low–Medium</x:v>
      </x:c>
      <x:c r="N14" s="14" t="str">
        <x:v>WAFCT regional foods/recipe method</x:v>
      </x:c>
      <x:c r="O14" s="14" t="str">
        <x:v>REGIONAL_RULE_REVIEW</x:v>
      </x:c>
      <x:c r="P14" s="14" t="str">
        <x:v>YES_WITH_GUARDRAILS</x:v>
      </x:c>
    </x:row>
    <x:row r="15">
      <x:c r="A15" s="14" t="str">
        <x:v>SN-M002</x:v>
      </x:c>
      <x:c r="B15" s="14" t="str">
        <x:v>Senegal</x:v>
      </x:c>
      <x:c r="C15" s="14" t="str">
        <x:v>Rice + fish + vegetables</x:v>
      </x:c>
      <x:c r="D15" s="14" t="str"/>
      <x:c r="E15" s="14" t="str">
        <x:v>Main meal</x:v>
      </x:c>
      <x:c r="F15" s="14" t="str">
        <x:v>Rice</x:v>
      </x:c>
      <x:c r="G15" s="14" t="str">
        <x:v>Fish</x:v>
      </x:c>
      <x:c r="H15" s="14" t="str">
        <x:v>Vegetables</x:v>
      </x:c>
      <x:c r="I15" s="14" t="str">
        <x:v>Fruit</x:v>
      </x:c>
      <x:c r="J15" s="14" t="str">
        <x:v>Protein + vegetables + familiar rice base</x:v>
      </x:c>
      <x:c r="K15" s="14" t="str">
        <x:v>Sodium/oil and micronutrients vary by recipe</x:v>
      </x:c>
      <x:c r="L15" s="14" t="str">
        <x:v>Keep recipe-specific preparation and portion data; avoid generic nutrient claims</x:v>
      </x:c>
      <x:c r="M15" s="14" t="str">
        <x:v>Medium</x:v>
      </x:c>
      <x:c r="N15" s="14" t="str">
        <x:v>WAFCT regional framework</x:v>
      </x:c>
      <x:c r="O15" s="14" t="str">
        <x:v>REGIONAL_RULE_REVIEW</x:v>
      </x:c>
      <x:c r="P15" s="14" t="str">
        <x:v>YES_WITH_GUARDRAILS</x:v>
      </x:c>
    </x:row>
    <x:row r="16">
      <x:c r="A16" s="14" t="str">
        <x:v>SN-M003</x:v>
      </x:c>
      <x:c r="B16" s="14" t="str">
        <x:v>Senegal</x:v>
      </x:c>
      <x:c r="C16" s="14" t="str">
        <x:v>Millet porridge + milk + groundnuts</x:v>
      </x:c>
      <x:c r="D16" s="14" t="str"/>
      <x:c r="E16" s="14" t="str">
        <x:v>Breakfast</x:v>
      </x:c>
      <x:c r="F16" s="14" t="str">
        <x:v>Millet</x:v>
      </x:c>
      <x:c r="G16" s="14" t="str">
        <x:v>Milk + groundnuts</x:v>
      </x:c>
      <x:c r="H16" s="14" t="str">
        <x:v>Optional fruit</x:v>
      </x:c>
      <x:c r="I16" s="14" t="str">
        <x:v>Baobab/papaya</x:v>
      </x:c>
      <x:c r="J16" s="14" t="str">
        <x:v>Energy + protein + calcium contribution</x:v>
      </x:c>
      <x:c r="K16" s="14" t="str">
        <x:v>Iron bioavailability may be limited by phytate</x:v>
      </x:c>
      <x:c r="L16" s="14" t="str">
        <x:v>Pair with vitamin-C-rich fruit/baobab food where culturally appropriate</x:v>
      </x:c>
      <x:c r="M16" s="14" t="str">
        <x:v>Low</x:v>
      </x:c>
      <x:c r="N16" s="14" t="str">
        <x:v>WAFCT regional foods</x:v>
      </x:c>
      <x:c r="O16" s="14" t="str">
        <x:v>REGIONAL_RULE_REVIEW</x:v>
      </x:c>
      <x:c r="P16" s="14" t="str">
        <x:v>YES_WITH_GUARDRAILS</x:v>
      </x:c>
    </x:row>
    <x:row r="17">
      <x:c r="A17" s="14" t="str">
        <x:v>SN-M004</x:v>
      </x:c>
      <x:c r="B17" s="14" t="str">
        <x:v>Senegal</x:v>
      </x:c>
      <x:c r="C17" s="14" t="str">
        <x:v>Cowpea stew + rice + leafy vegetables</x:v>
      </x:c>
      <x:c r="D17" s="14" t="str"/>
      <x:c r="E17" s="14" t="str">
        <x:v>Main meal</x:v>
      </x:c>
      <x:c r="F17" s="14" t="str">
        <x:v>Rice</x:v>
      </x:c>
      <x:c r="G17" s="14" t="str">
        <x:v>Cowpeas</x:v>
      </x:c>
      <x:c r="H17" s="14" t="str">
        <x:v>Leafy vegetables</x:v>
      </x:c>
      <x:c r="I17" s="14" t="str">
        <x:v>Egg/fish optional</x:v>
      </x:c>
      <x:c r="J17" s="14" t="str">
        <x:v>Legume protein + vegetables + diversity</x:v>
      </x:c>
      <x:c r="K17" s="14" t="str">
        <x:v>B12 may be low without animal-source food</x:v>
      </x:c>
      <x:c r="L17" s="14" t="str">
        <x:v>Add egg/fish where available</x:v>
      </x:c>
      <x:c r="M17" s="14" t="str">
        <x:v>Low–Medium</x:v>
      </x:c>
      <x:c r="N17" s="14" t="str">
        <x:v>WAFCT regional foods</x:v>
      </x:c>
      <x:c r="O17" s="14" t="str">
        <x:v>REGIONAL_RULE_REVIEW</x:v>
      </x:c>
      <x:c r="P17" s="14" t="str">
        <x:v>YES_WITH_GUARDRAILS</x:v>
      </x:c>
    </x:row>
    <x:row r="18">
      <x:c r="A18" s="14" t="str">
        <x:v>SN-M005</x:v>
      </x:c>
      <x:c r="B18" s="14" t="str">
        <x:v>Senegal</x:v>
      </x:c>
      <x:c r="C18" s="14" t="str">
        <x:v>Yellow-fleshed sweet potato + cowpeas + fish</x:v>
      </x:c>
      <x:c r="D18" s="14" t="str"/>
      <x:c r="E18" s="14" t="str">
        <x:v>Main meal</x:v>
      </x:c>
      <x:c r="F18" s="14" t="str">
        <x:v>Yellow-fleshed sweet potato</x:v>
      </x:c>
      <x:c r="G18" s="14" t="str">
        <x:v>Cowpeas + fish</x:v>
      </x:c>
      <x:c r="H18" s="14" t="str">
        <x:v>Vegetables</x:v>
      </x:c>
      <x:c r="I18" s="14" t="str">
        <x:v>Fruit</x:v>
      </x:c>
      <x:c r="J18" s="14" t="str">
        <x:v>Vitamin-A-rich staple + protein</x:v>
      </x:c>
      <x:c r="K18" s="14" t="str">
        <x:v>Exact adequacy depends on portion/full-day diet</x:v>
      </x:c>
      <x:c r="L18" s="14" t="str">
        <x:v>Use portions and country-source values before scoring adequacy</x:v>
      </x:c>
      <x:c r="M18" s="14" t="str">
        <x:v>Low–Medium</x:v>
      </x:c>
      <x:c r="N18" s="14" t="str">
        <x:v>WAFCT regional foods</x:v>
      </x:c>
      <x:c r="O18" s="14" t="str">
        <x:v>REGIONAL_RULE_REVIEW</x:v>
      </x:c>
      <x:c r="P18" s="14" t="str">
        <x:v>YES_WITH_GUARDRAILS</x:v>
      </x:c>
    </x:row>
    <x:row r="19">
      <x:c r="A19" s="14" t="str">
        <x:v>SN-M006</x:v>
      </x:c>
      <x:c r="B19" s="14" t="str">
        <x:v>Senegal</x:v>
      </x:c>
      <x:c r="C19" s="14" t="str">
        <x:v>Rice + egg + moringa/leafy vegetable sauce</x:v>
      </x:c>
      <x:c r="D19" s="14" t="str"/>
      <x:c r="E19" s="14" t="str">
        <x:v>Main meal</x:v>
      </x:c>
      <x:c r="F19" s="14" t="str">
        <x:v>Rice</x:v>
      </x:c>
      <x:c r="G19" s="14" t="str">
        <x:v>Egg</x:v>
      </x:c>
      <x:c r="H19" s="14" t="str">
        <x:v>Moringa/leafy vegetable sauce</x:v>
      </x:c>
      <x:c r="I19" s="14" t="str">
        <x:v>Fruit</x:v>
      </x:c>
      <x:c r="J19" s="14" t="str">
        <x:v>Protein + leafy vegetables</x:v>
      </x:c>
      <x:c r="K19" s="14" t="str">
        <x:v>Recipe-specific mineral/vitamin values vary</x:v>
      </x:c>
      <x:c r="L19" s="14" t="str">
        <x:v>Use source-matched leafy vegetable and preparation state</x:v>
      </x:c>
      <x:c r="M19" s="14" t="str">
        <x:v>Low–Medium</x:v>
      </x:c>
      <x:c r="N19" s="14" t="str">
        <x:v>WAFCT regional foods</x:v>
      </x:c>
      <x:c r="O19" s="14" t="str">
        <x:v>REGIONAL_RULE_REVIEW</x:v>
      </x:c>
      <x:c r="P19" s="14" t="str">
        <x:v>YES_WITH_GUARDRAILS</x:v>
      </x:c>
    </x:row>
  </x:sheetData>
  <x:dataValidations count="1">
    <x:dataValidation type="list" sqref="P2:P19">
      <x:formula1>"YES_WITH_GUARDRAILS,NO,PENDING"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25e07a1d934fa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</x:cols>
  <x:sheetData>
    <x:row r="1">
      <x:c r="A1" s="62" t="str">
        <x:v>Meal_ID</x:v>
      </x:c>
      <x:c r="B1" s="62" t="str">
        <x:v>Component_Order</x:v>
      </x:c>
      <x:c r="C1" s="62" t="str">
        <x:v>Component_Role</x:v>
      </x:c>
      <x:c r="D1" s="62" t="str">
        <x:v>Canonical_Food_or_Dish</x:v>
      </x:c>
      <x:c r="E1" s="62" t="str">
        <x:v>Country_Source_Preference</x:v>
      </x:c>
      <x:c r="F1" s="62" t="str">
        <x:v>Required</x:v>
      </x:c>
      <x:c r="G1" s="62" t="str">
        <x:v>Substitution_Group</x:v>
      </x:c>
      <x:c r="H1" s="62" t="str">
        <x:v>Notes</x:v>
      </x:c>
    </x:row>
    <x:row r="2">
      <x:c r="A2" s="14" t="str">
        <x:v>KE-M001</x:v>
      </x:c>
      <x:c r="B2" s="14" t="n">
        <x:v>1</x:v>
      </x:c>
      <x:c r="C2" s="14" t="str">
        <x:v>Staple</x:v>
      </x:c>
      <x:c r="D2" s="14" t="str">
        <x:v>Whole/refined maize ugali</x:v>
      </x:c>
      <x:c r="E2" s="14" t="str">
        <x:v>Kenya</x:v>
      </x:c>
      <x:c r="F2" s="63" t="b">
        <x:v>1</x:v>
      </x:c>
      <x:c r="G2" s="14" t="str">
        <x:v>STAPLE</x:v>
      </x:c>
      <x:c r="H2" s="14" t="str">
        <x:v>Use cooked/mixed-dish source where available</x:v>
      </x:c>
    </x:row>
    <x:row r="3">
      <x:c r="A3" s="14" t="str">
        <x:v>KE-M001</x:v>
      </x:c>
      <x:c r="B3" s="14" t="n">
        <x:v>2</x:v>
      </x:c>
      <x:c r="C3" s="14" t="str">
        <x:v>Protein</x:v>
      </x:c>
      <x:c r="D3" s="14" t="str">
        <x:v>Egg</x:v>
      </x:c>
      <x:c r="E3" s="14" t="str">
        <x:v>Kenya</x:v>
      </x:c>
      <x:c r="F3" s="63" t="b">
        <x:v>1</x:v>
      </x:c>
      <x:c r="G3" s="14" t="str">
        <x:v>PROTEIN</x:v>
      </x:c>
      <x:c r="H3" s="14" t="str">
        <x:v>Prefer source-specific cooked/prepared record</x:v>
      </x:c>
    </x:row>
    <x:row r="4">
      <x:c r="A4" s="14" t="str">
        <x:v>KE-M001</x:v>
      </x:c>
      <x:c r="B4" s="14" t="n">
        <x:v>3</x:v>
      </x:c>
      <x:c r="C4" s="14" t="str">
        <x:v>Vegetable/Fruit</x:v>
      </x:c>
      <x:c r="D4" s="14" t="str">
        <x:v>Sukuma wiki</x:v>
      </x:c>
      <x:c r="E4" s="14" t="str">
        <x:v>Kenya</x:v>
      </x:c>
      <x:c r="F4" s="63" t="b">
        <x:v>1</x:v>
      </x:c>
      <x:c r="G4" s="14" t="str">
        <x:v>VEG_FRUIT</x:v>
      </x:c>
      <x:c r="H4" s="14" t="str">
        <x:v>Prioritise leafy or vitamin-C/A-rich options as relevant</x:v>
      </x:c>
    </x:row>
    <x:row r="5">
      <x:c r="A5" s="14" t="str">
        <x:v>KE-M001</x:v>
      </x:c>
      <x:c r="B5" s="14" t="n">
        <x:v>4</x:v>
      </x:c>
      <x:c r="C5" s="14" t="str">
        <x:v>Optional improvement</x:v>
      </x:c>
      <x:c r="D5" s="14" t="str">
        <x:v>Avocado or fruit</x:v>
      </x:c>
      <x:c r="E5" s="14" t="str">
        <x:v>Kenya</x:v>
      </x:c>
      <x:c r="F5" s="63" t="b">
        <x:v>0</x:v>
      </x:c>
      <x:c r="G5" s="14" t="str">
        <x:v>IMPROVEMENT</x:v>
      </x:c>
      <x:c r="H5" s="14" t="str">
        <x:v>Offer only if available/affordable</x:v>
      </x:c>
    </x:row>
    <x:row r="6">
      <x:c r="A6" s="14" t="str">
        <x:v>KE-M002</x:v>
      </x:c>
      <x:c r="B6" s="14" t="n">
        <x:v>1</x:v>
      </x:c>
      <x:c r="C6" s="14" t="str">
        <x:v>Staple</x:v>
      </x:c>
      <x:c r="D6" s="14" t="str">
        <x:v>Maize</x:v>
      </x:c>
      <x:c r="E6" s="14" t="str">
        <x:v>Kenya</x:v>
      </x:c>
      <x:c r="F6" s="63" t="b">
        <x:v>1</x:v>
      </x:c>
      <x:c r="G6" s="14" t="str">
        <x:v>STAPLE</x:v>
      </x:c>
      <x:c r="H6" s="14" t="str">
        <x:v>Use cooked/mixed-dish source where available</x:v>
      </x:c>
    </x:row>
    <x:row r="7">
      <x:c r="A7" s="14" t="str">
        <x:v>KE-M002</x:v>
      </x:c>
      <x:c r="B7" s="14" t="n">
        <x:v>2</x:v>
      </x:c>
      <x:c r="C7" s="14" t="str">
        <x:v>Protein</x:v>
      </x:c>
      <x:c r="D7" s="14" t="str">
        <x:v>Beans</x:v>
      </x:c>
      <x:c r="E7" s="14" t="str">
        <x:v>Kenya</x:v>
      </x:c>
      <x:c r="F7" s="63" t="b">
        <x:v>1</x:v>
      </x:c>
      <x:c r="G7" s="14" t="str">
        <x:v>PROTEIN</x:v>
      </x:c>
      <x:c r="H7" s="14" t="str">
        <x:v>Prefer source-specific cooked/prepared record</x:v>
      </x:c>
    </x:row>
    <x:row r="8">
      <x:c r="A8" s="14" t="str">
        <x:v>KE-M002</x:v>
      </x:c>
      <x:c r="B8" s="14" t="n">
        <x:v>3</x:v>
      </x:c>
      <x:c r="C8" s="14" t="str">
        <x:v>Vegetable/Fruit</x:v>
      </x:c>
      <x:c r="D8" s="14" t="str">
        <x:v>Leafy greens</x:v>
      </x:c>
      <x:c r="E8" s="14" t="str">
        <x:v>Kenya</x:v>
      </x:c>
      <x:c r="F8" s="63" t="b">
        <x:v>1</x:v>
      </x:c>
      <x:c r="G8" s="14" t="str">
        <x:v>VEG_FRUIT</x:v>
      </x:c>
      <x:c r="H8" s="14" t="str">
        <x:v>Prioritise leafy or vitamin-C/A-rich options as relevant</x:v>
      </x:c>
    </x:row>
    <x:row r="9">
      <x:c r="A9" s="14" t="str">
        <x:v>KE-M002</x:v>
      </x:c>
      <x:c r="B9" s="14" t="n">
        <x:v>4</x:v>
      </x:c>
      <x:c r="C9" s="14" t="str">
        <x:v>Optional improvement</x:v>
      </x:c>
      <x:c r="D9" s="14" t="str">
        <x:v>Avocado</x:v>
      </x:c>
      <x:c r="E9" s="14" t="str">
        <x:v>Kenya</x:v>
      </x:c>
      <x:c r="F9" s="63" t="b">
        <x:v>0</x:v>
      </x:c>
      <x:c r="G9" s="14" t="str">
        <x:v>IMPROVEMENT</x:v>
      </x:c>
      <x:c r="H9" s="14" t="str">
        <x:v>Offer only if available/affordable</x:v>
      </x:c>
    </x:row>
    <x:row r="10">
      <x:c r="A10" s="14" t="str">
        <x:v>KE-M003</x:v>
      </x:c>
      <x:c r="B10" s="14" t="n">
        <x:v>1</x:v>
      </x:c>
      <x:c r="C10" s="14" t="str">
        <x:v>Staple</x:v>
      </x:c>
      <x:c r="D10" s="14" t="str">
        <x:v>Rice</x:v>
      </x:c>
      <x:c r="E10" s="14" t="str">
        <x:v>Kenya</x:v>
      </x:c>
      <x:c r="F10" s="63" t="b">
        <x:v>1</x:v>
      </x:c>
      <x:c r="G10" s="14" t="str">
        <x:v>STAPLE</x:v>
      </x:c>
      <x:c r="H10" s="14" t="str">
        <x:v>Use cooked/mixed-dish source where available</x:v>
      </x:c>
    </x:row>
    <x:row r="11">
      <x:c r="A11" s="14" t="str">
        <x:v>KE-M003</x:v>
      </x:c>
      <x:c r="B11" s="14" t="n">
        <x:v>2</x:v>
      </x:c>
      <x:c r="C11" s="14" t="str">
        <x:v>Protein</x:v>
      </x:c>
      <x:c r="D11" s="14" t="str">
        <x:v>Green grams</x:v>
      </x:c>
      <x:c r="E11" s="14" t="str">
        <x:v>Kenya</x:v>
      </x:c>
      <x:c r="F11" s="63" t="b">
        <x:v>1</x:v>
      </x:c>
      <x:c r="G11" s="14" t="str">
        <x:v>PROTEIN</x:v>
      </x:c>
      <x:c r="H11" s="14" t="str">
        <x:v>Prefer source-specific cooked/prepared record</x:v>
      </x:c>
    </x:row>
    <x:row r="12">
      <x:c r="A12" s="14" t="str">
        <x:v>KE-M003</x:v>
      </x:c>
      <x:c r="B12" s="14" t="n">
        <x:v>3</x:v>
      </x:c>
      <x:c r="C12" s="14" t="str">
        <x:v>Vegetable/Fruit</x:v>
      </x:c>
      <x:c r="D12" s="14" t="str">
        <x:v>Sukuma wiki</x:v>
      </x:c>
      <x:c r="E12" s="14" t="str">
        <x:v>Kenya</x:v>
      </x:c>
      <x:c r="F12" s="63" t="b">
        <x:v>1</x:v>
      </x:c>
      <x:c r="G12" s="14" t="str">
        <x:v>VEG_FRUIT</x:v>
      </x:c>
      <x:c r="H12" s="14" t="str">
        <x:v>Prioritise leafy or vitamin-C/A-rich options as relevant</x:v>
      </x:c>
    </x:row>
    <x:row r="13">
      <x:c r="A13" s="14" t="str">
        <x:v>KE-M003</x:v>
      </x:c>
      <x:c r="B13" s="14" t="n">
        <x:v>4</x:v>
      </x:c>
      <x:c r="C13" s="14" t="str">
        <x:v>Optional improvement</x:v>
      </x:c>
      <x:c r="D13" s="14" t="str">
        <x:v>Legume protein + vegetables</x:v>
      </x:c>
      <x:c r="E13" s="14" t="str">
        <x:v>Kenya</x:v>
      </x:c>
      <x:c r="F13" s="63" t="b">
        <x:v>0</x:v>
      </x:c>
      <x:c r="G13" s="14" t="str">
        <x:v>IMPROVEMENT</x:v>
      </x:c>
      <x:c r="H13" s="14" t="str">
        <x:v>Offer only if available/affordable</x:v>
      </x:c>
    </x:row>
    <x:row r="14">
      <x:c r="A14" s="14" t="str">
        <x:v>KE-M004</x:v>
      </x:c>
      <x:c r="B14" s="14" t="n">
        <x:v>1</x:v>
      </x:c>
      <x:c r="C14" s="14" t="str">
        <x:v>Staple</x:v>
      </x:c>
      <x:c r="D14" s="14" t="str">
        <x:v>Finger millet porridge</x:v>
      </x:c>
      <x:c r="E14" s="14" t="str">
        <x:v>Kenya</x:v>
      </x:c>
      <x:c r="F14" s="63" t="b">
        <x:v>1</x:v>
      </x:c>
      <x:c r="G14" s="14" t="str">
        <x:v>STAPLE</x:v>
      </x:c>
      <x:c r="H14" s="14" t="str">
        <x:v>Use cooked/mixed-dish source where available</x:v>
      </x:c>
    </x:row>
    <x:row r="15">
      <x:c r="A15" s="14" t="str">
        <x:v>KE-M004</x:v>
      </x:c>
      <x:c r="B15" s="14" t="n">
        <x:v>2</x:v>
      </x:c>
      <x:c r="C15" s="14" t="str">
        <x:v>Protein</x:v>
      </x:c>
      <x:c r="D15" s="14" t="str">
        <x:v>Milk + groundnuts</x:v>
      </x:c>
      <x:c r="E15" s="14" t="str">
        <x:v>Kenya</x:v>
      </x:c>
      <x:c r="F15" s="63" t="b">
        <x:v>1</x:v>
      </x:c>
      <x:c r="G15" s="14" t="str">
        <x:v>PROTEIN</x:v>
      </x:c>
      <x:c r="H15" s="14" t="str">
        <x:v>Prefer source-specific cooked/prepared record</x:v>
      </x:c>
    </x:row>
    <x:row r="16">
      <x:c r="A16" s="14" t="str">
        <x:v>KE-M004</x:v>
      </x:c>
      <x:c r="B16" s="14" t="n">
        <x:v>3</x:v>
      </x:c>
      <x:c r="C16" s="14" t="str">
        <x:v>Vegetable/Fruit</x:v>
      </x:c>
      <x:c r="D16" s="14" t="str">
        <x:v>Optional fruit</x:v>
      </x:c>
      <x:c r="E16" s="14" t="str">
        <x:v>Kenya</x:v>
      </x:c>
      <x:c r="F16" s="63" t="b">
        <x:v>1</x:v>
      </x:c>
      <x:c r="G16" s="14" t="str">
        <x:v>VEG_FRUIT</x:v>
      </x:c>
      <x:c r="H16" s="14" t="str">
        <x:v>Prioritise leafy or vitamin-C/A-rich options as relevant</x:v>
      </x:c>
    </x:row>
    <x:row r="17">
      <x:c r="A17" s="14" t="str">
        <x:v>KE-M004</x:v>
      </x:c>
      <x:c r="B17" s="14" t="n">
        <x:v>4</x:v>
      </x:c>
      <x:c r="C17" s="14" t="str">
        <x:v>Optional improvement</x:v>
      </x:c>
      <x:c r="D17" s="14" t="str">
        <x:v>Banana/papaya</x:v>
      </x:c>
      <x:c r="E17" s="14" t="str">
        <x:v>Kenya</x:v>
      </x:c>
      <x:c r="F17" s="63" t="b">
        <x:v>0</x:v>
      </x:c>
      <x:c r="G17" s="14" t="str">
        <x:v>IMPROVEMENT</x:v>
      </x:c>
      <x:c r="H17" s="14" t="str">
        <x:v>Offer only if available/affordable</x:v>
      </x:c>
    </x:row>
    <x:row r="18">
      <x:c r="A18" s="14" t="str">
        <x:v>KE-M005</x:v>
      </x:c>
      <x:c r="B18" s="14" t="n">
        <x:v>1</x:v>
      </x:c>
      <x:c r="C18" s="14" t="str">
        <x:v>Staple</x:v>
      </x:c>
      <x:c r="D18" s="14" t="str">
        <x:v>Sweet potato</x:v>
      </x:c>
      <x:c r="E18" s="14" t="str">
        <x:v>Kenya</x:v>
      </x:c>
      <x:c r="F18" s="63" t="b">
        <x:v>1</x:v>
      </x:c>
      <x:c r="G18" s="14" t="str">
        <x:v>STAPLE</x:v>
      </x:c>
      <x:c r="H18" s="14" t="str">
        <x:v>Use cooked/mixed-dish source where available</x:v>
      </x:c>
    </x:row>
    <x:row r="19">
      <x:c r="A19" s="14" t="str">
        <x:v>KE-M005</x:v>
      </x:c>
      <x:c r="B19" s="14" t="n">
        <x:v>2</x:v>
      </x:c>
      <x:c r="C19" s="14" t="str">
        <x:v>Protein</x:v>
      </x:c>
      <x:c r="D19" s="14" t="str">
        <x:v>Bean stew</x:v>
      </x:c>
      <x:c r="E19" s="14" t="str">
        <x:v>Kenya</x:v>
      </x:c>
      <x:c r="F19" s="63" t="b">
        <x:v>1</x:v>
      </x:c>
      <x:c r="G19" s="14" t="str">
        <x:v>PROTEIN</x:v>
      </x:c>
      <x:c r="H19" s="14" t="str">
        <x:v>Prefer source-specific cooked/prepared record</x:v>
      </x:c>
    </x:row>
    <x:row r="20">
      <x:c r="A20" s="14" t="str">
        <x:v>KE-M005</x:v>
      </x:c>
      <x:c r="B20" s="14" t="n">
        <x:v>3</x:v>
      </x:c>
      <x:c r="C20" s="14" t="str">
        <x:v>Vegetable/Fruit</x:v>
      </x:c>
      <x:c r="D20" s="14" t="str">
        <x:v>Amaranth leaves</x:v>
      </x:c>
      <x:c r="E20" s="14" t="str">
        <x:v>Kenya</x:v>
      </x:c>
      <x:c r="F20" s="63" t="b">
        <x:v>1</x:v>
      </x:c>
      <x:c r="G20" s="14" t="str">
        <x:v>VEG_FRUIT</x:v>
      </x:c>
      <x:c r="H20" s="14" t="str">
        <x:v>Prioritise leafy or vitamin-C/A-rich options as relevant</x:v>
      </x:c>
    </x:row>
    <x:row r="21">
      <x:c r="A21" s="14" t="str">
        <x:v>KE-M005</x:v>
      </x:c>
      <x:c r="B21" s="14" t="n">
        <x:v>4</x:v>
      </x:c>
      <x:c r="C21" s="14" t="str">
        <x:v>Optional improvement</x:v>
      </x:c>
      <x:c r="D21" s="14" t="str">
        <x:v>Fruit</x:v>
      </x:c>
      <x:c r="E21" s="14" t="str">
        <x:v>Kenya</x:v>
      </x:c>
      <x:c r="F21" s="63" t="b">
        <x:v>0</x:v>
      </x:c>
      <x:c r="G21" s="14" t="str">
        <x:v>IMPROVEMENT</x:v>
      </x:c>
      <x:c r="H21" s="14" t="str">
        <x:v>Offer only if available/affordable</x:v>
      </x:c>
    </x:row>
    <x:row r="22">
      <x:c r="A22" s="14" t="str">
        <x:v>KE-M006</x:v>
      </x:c>
      <x:c r="B22" s="14" t="n">
        <x:v>1</x:v>
      </x:c>
      <x:c r="C22" s="14" t="str">
        <x:v>Staple</x:v>
      </x:c>
      <x:c r="D22" s="14" t="str">
        <x:v>Pilau</x:v>
      </x:c>
      <x:c r="E22" s="14" t="str">
        <x:v>Kenya</x:v>
      </x:c>
      <x:c r="F22" s="63" t="b">
        <x:v>1</x:v>
      </x:c>
      <x:c r="G22" s="14" t="str">
        <x:v>STAPLE</x:v>
      </x:c>
      <x:c r="H22" s="14" t="str">
        <x:v>Use cooked/mixed-dish source where available</x:v>
      </x:c>
    </x:row>
    <x:row r="23">
      <x:c r="A23" s="14" t="str">
        <x:v>KE-M006</x:v>
      </x:c>
      <x:c r="B23" s="14" t="n">
        <x:v>2</x:v>
      </x:c>
      <x:c r="C23" s="14" t="str">
        <x:v>Protein</x:v>
      </x:c>
      <x:c r="D23" s="14" t="str">
        <x:v>Beans or green grams</x:v>
      </x:c>
      <x:c r="E23" s="14" t="str">
        <x:v>Kenya</x:v>
      </x:c>
      <x:c r="F23" s="63" t="b">
        <x:v>1</x:v>
      </x:c>
      <x:c r="G23" s="14" t="str">
        <x:v>PROTEIN</x:v>
      </x:c>
      <x:c r="H23" s="14" t="str">
        <x:v>Prefer source-specific cooked/prepared record</x:v>
      </x:c>
    </x:row>
    <x:row r="24">
      <x:c r="A24" s="14" t="str">
        <x:v>KE-M006</x:v>
      </x:c>
      <x:c r="B24" s="14" t="n">
        <x:v>3</x:v>
      </x:c>
      <x:c r="C24" s="14" t="str">
        <x:v>Vegetable/Fruit</x:v>
      </x:c>
      <x:c r="D24" s="14" t="str">
        <x:v>Vegetables</x:v>
      </x:c>
      <x:c r="E24" s="14" t="str">
        <x:v>Kenya</x:v>
      </x:c>
      <x:c r="F24" s="63" t="b">
        <x:v>1</x:v>
      </x:c>
      <x:c r="G24" s="14" t="str">
        <x:v>VEG_FRUIT</x:v>
      </x:c>
      <x:c r="H24" s="14" t="str">
        <x:v>Prioritise leafy or vitamin-C/A-rich options as relevant</x:v>
      </x:c>
    </x:row>
    <x:row r="25">
      <x:c r="A25" s="14" t="str">
        <x:v>KE-M006</x:v>
      </x:c>
      <x:c r="B25" s="14" t="n">
        <x:v>4</x:v>
      </x:c>
      <x:c r="C25" s="14" t="str">
        <x:v>Optional improvement</x:v>
      </x:c>
      <x:c r="D25" s="14" t="str">
        <x:v>Fruit</x:v>
      </x:c>
      <x:c r="E25" s="14" t="str">
        <x:v>Kenya</x:v>
      </x:c>
      <x:c r="F25" s="63" t="b">
        <x:v>0</x:v>
      </x:c>
      <x:c r="G25" s="14" t="str">
        <x:v>IMPROVEMENT</x:v>
      </x:c>
      <x:c r="H25" s="14" t="str">
        <x:v>Offer only if available/affordable</x:v>
      </x:c>
    </x:row>
    <x:row r="26">
      <x:c r="A26" s="14" t="str">
        <x:v>NG-M001</x:v>
      </x:c>
      <x:c r="B26" s="14" t="n">
        <x:v>1</x:v>
      </x:c>
      <x:c r="C26" s="14" t="str">
        <x:v>Staple</x:v>
      </x:c>
      <x:c r="D26" s="14" t="str">
        <x:v>Yam</x:v>
      </x:c>
      <x:c r="E26" s="14" t="str">
        <x:v>Nigeria</x:v>
      </x:c>
      <x:c r="F26" s="63" t="b">
        <x:v>1</x:v>
      </x:c>
      <x:c r="G26" s="14" t="str">
        <x:v>STAPLE</x:v>
      </x:c>
      <x:c r="H26" s="14" t="str">
        <x:v>Use cooked/mixed-dish source where available</x:v>
      </x:c>
    </x:row>
    <x:row r="27">
      <x:c r="A27" s="14" t="str">
        <x:v>NG-M001</x:v>
      </x:c>
      <x:c r="B27" s="14" t="n">
        <x:v>2</x:v>
      </x:c>
      <x:c r="C27" s="14" t="str">
        <x:v>Protein</x:v>
      </x:c>
      <x:c r="D27" s="14" t="str">
        <x:v>Beans</x:v>
      </x:c>
      <x:c r="E27" s="14" t="str">
        <x:v>Nigeria</x:v>
      </x:c>
      <x:c r="F27" s="63" t="b">
        <x:v>1</x:v>
      </x:c>
      <x:c r="G27" s="14" t="str">
        <x:v>PROTEIN</x:v>
      </x:c>
      <x:c r="H27" s="14" t="str">
        <x:v>Prefer source-specific cooked/prepared record</x:v>
      </x:c>
    </x:row>
    <x:row r="28">
      <x:c r="A28" s="14" t="str">
        <x:v>NG-M001</x:v>
      </x:c>
      <x:c r="B28" s="14" t="n">
        <x:v>3</x:v>
      </x:c>
      <x:c r="C28" s="14" t="str">
        <x:v>Vegetable/Fruit</x:v>
      </x:c>
      <x:c r="D28" s="14" t="str">
        <x:v>Leafy vegetable</x:v>
      </x:c>
      <x:c r="E28" s="14" t="str">
        <x:v>Nigeria</x:v>
      </x:c>
      <x:c r="F28" s="63" t="b">
        <x:v>1</x:v>
      </x:c>
      <x:c r="G28" s="14" t="str">
        <x:v>VEG_FRUIT</x:v>
      </x:c>
      <x:c r="H28" s="14" t="str">
        <x:v>Prioritise leafy or vitamin-C/A-rich options as relevant</x:v>
      </x:c>
    </x:row>
    <x:row r="29">
      <x:c r="A29" s="14" t="str">
        <x:v>NG-M001</x:v>
      </x:c>
      <x:c r="B29" s="14" t="n">
        <x:v>4</x:v>
      </x:c>
      <x:c r="C29" s="14" t="str">
        <x:v>Optional improvement</x:v>
      </x:c>
      <x:c r="D29" s="14" t="str">
        <x:v>Orange/guava</x:v>
      </x:c>
      <x:c r="E29" s="14" t="str">
        <x:v>Nigeria</x:v>
      </x:c>
      <x:c r="F29" s="63" t="b">
        <x:v>0</x:v>
      </x:c>
      <x:c r="G29" s="14" t="str">
        <x:v>IMPROVEMENT</x:v>
      </x:c>
      <x:c r="H29" s="14" t="str">
        <x:v>Offer only if available/affordable</x:v>
      </x:c>
    </x:row>
    <x:row r="30">
      <x:c r="A30" s="14" t="str">
        <x:v>NG-M002</x:v>
      </x:c>
      <x:c r="B30" s="14" t="n">
        <x:v>1</x:v>
      </x:c>
      <x:c r="C30" s="14" t="str">
        <x:v>Staple</x:v>
      </x:c>
      <x:c r="D30" s="14" t="str">
        <x:v>Eba</x:v>
      </x:c>
      <x:c r="E30" s="14" t="str">
        <x:v>Nigeria</x:v>
      </x:c>
      <x:c r="F30" s="63" t="b">
        <x:v>1</x:v>
      </x:c>
      <x:c r="G30" s="14" t="str">
        <x:v>STAPLE</x:v>
      </x:c>
      <x:c r="H30" s="14" t="str">
        <x:v>Use cooked/mixed-dish source where available</x:v>
      </x:c>
    </x:row>
    <x:row r="31">
      <x:c r="A31" s="14" t="str">
        <x:v>NG-M002</x:v>
      </x:c>
      <x:c r="B31" s="14" t="n">
        <x:v>2</x:v>
      </x:c>
      <x:c r="C31" s="14" t="str">
        <x:v>Protein</x:v>
      </x:c>
      <x:c r="D31" s="14" t="str">
        <x:v>Fish</x:v>
      </x:c>
      <x:c r="E31" s="14" t="str">
        <x:v>Nigeria</x:v>
      </x:c>
      <x:c r="F31" s="63" t="b">
        <x:v>1</x:v>
      </x:c>
      <x:c r="G31" s="14" t="str">
        <x:v>PROTEIN</x:v>
      </x:c>
      <x:c r="H31" s="14" t="str">
        <x:v>Prefer source-specific cooked/prepared record</x:v>
      </x:c>
    </x:row>
    <x:row r="32">
      <x:c r="A32" s="14" t="str">
        <x:v>NG-M002</x:v>
      </x:c>
      <x:c r="B32" s="14" t="n">
        <x:v>3</x:v>
      </x:c>
      <x:c r="C32" s="14" t="str">
        <x:v>Vegetable/Fruit</x:v>
      </x:c>
      <x:c r="D32" s="14" t="str">
        <x:v>Leafy vegetable soup</x:v>
      </x:c>
      <x:c r="E32" s="14" t="str">
        <x:v>Nigeria</x:v>
      </x:c>
      <x:c r="F32" s="63" t="b">
        <x:v>1</x:v>
      </x:c>
      <x:c r="G32" s="14" t="str">
        <x:v>VEG_FRUIT</x:v>
      </x:c>
      <x:c r="H32" s="14" t="str">
        <x:v>Prioritise leafy or vitamin-C/A-rich options as relevant</x:v>
      </x:c>
    </x:row>
    <x:row r="33">
      <x:c r="A33" s="14" t="str">
        <x:v>NG-M002</x:v>
      </x:c>
      <x:c r="B33" s="14" t="n">
        <x:v>4</x:v>
      </x:c>
      <x:c r="C33" s="14" t="str">
        <x:v>Optional improvement</x:v>
      </x:c>
      <x:c r="D33" s="14" t="str">
        <x:v>Fruit</x:v>
      </x:c>
      <x:c r="E33" s="14" t="str">
        <x:v>Nigeria</x:v>
      </x:c>
      <x:c r="F33" s="63" t="b">
        <x:v>0</x:v>
      </x:c>
      <x:c r="G33" s="14" t="str">
        <x:v>IMPROVEMENT</x:v>
      </x:c>
      <x:c r="H33" s="14" t="str">
        <x:v>Offer only if available/affordable</x:v>
      </x:c>
    </x:row>
    <x:row r="34">
      <x:c r="A34" s="14" t="str">
        <x:v>NG-M003</x:v>
      </x:c>
      <x:c r="B34" s="14" t="n">
        <x:v>1</x:v>
      </x:c>
      <x:c r="C34" s="14" t="str">
        <x:v>Staple</x:v>
      </x:c>
      <x:c r="D34" s="14" t="str">
        <x:v>Rice</x:v>
      </x:c>
      <x:c r="E34" s="14" t="str">
        <x:v>Nigeria</x:v>
      </x:c>
      <x:c r="F34" s="63" t="b">
        <x:v>1</x:v>
      </x:c>
      <x:c r="G34" s="14" t="str">
        <x:v>STAPLE</x:v>
      </x:c>
      <x:c r="H34" s="14" t="str">
        <x:v>Use cooked/mixed-dish source where available</x:v>
      </x:c>
    </x:row>
    <x:row r="35">
      <x:c r="A35" s="14" t="str">
        <x:v>NG-M003</x:v>
      </x:c>
      <x:c r="B35" s="14" t="n">
        <x:v>2</x:v>
      </x:c>
      <x:c r="C35" s="14" t="str">
        <x:v>Protein</x:v>
      </x:c>
      <x:c r="D35" s="14" t="str">
        <x:v>Beans</x:v>
      </x:c>
      <x:c r="E35" s="14" t="str">
        <x:v>Nigeria</x:v>
      </x:c>
      <x:c r="F35" s="63" t="b">
        <x:v>1</x:v>
      </x:c>
      <x:c r="G35" s="14" t="str">
        <x:v>PROTEIN</x:v>
      </x:c>
      <x:c r="H35" s="14" t="str">
        <x:v>Prefer source-specific cooked/prepared record</x:v>
      </x:c>
    </x:row>
    <x:row r="36">
      <x:c r="A36" s="14" t="str">
        <x:v>NG-M003</x:v>
      </x:c>
      <x:c r="B36" s="14" t="n">
        <x:v>3</x:v>
      </x:c>
      <x:c r="C36" s="14" t="str">
        <x:v>Vegetable/Fruit</x:v>
      </x:c>
      <x:c r="D36" s="14" t="str">
        <x:v>Vegetables</x:v>
      </x:c>
      <x:c r="E36" s="14" t="str">
        <x:v>Nigeria</x:v>
      </x:c>
      <x:c r="F36" s="63" t="b">
        <x:v>1</x:v>
      </x:c>
      <x:c r="G36" s="14" t="str">
        <x:v>VEG_FRUIT</x:v>
      </x:c>
      <x:c r="H36" s="14" t="str">
        <x:v>Prioritise leafy or vitamin-C/A-rich options as relevant</x:v>
      </x:c>
    </x:row>
    <x:row r="37">
      <x:c r="A37" s="14" t="str">
        <x:v>NG-M003</x:v>
      </x:c>
      <x:c r="B37" s="14" t="n">
        <x:v>4</x:v>
      </x:c>
      <x:c r="C37" s="14" t="str">
        <x:v>Optional improvement</x:v>
      </x:c>
      <x:c r="D37" s="14" t="str">
        <x:v>Egg or fish</x:v>
      </x:c>
      <x:c r="E37" s="14" t="str">
        <x:v>Nigeria</x:v>
      </x:c>
      <x:c r="F37" s="63" t="b">
        <x:v>0</x:v>
      </x:c>
      <x:c r="G37" s="14" t="str">
        <x:v>IMPROVEMENT</x:v>
      </x:c>
      <x:c r="H37" s="14" t="str">
        <x:v>Offer only if available/affordable</x:v>
      </x:c>
    </x:row>
    <x:row r="38">
      <x:c r="A38" s="14" t="str">
        <x:v>NG-M004</x:v>
      </x:c>
      <x:c r="B38" s="14" t="n">
        <x:v>1</x:v>
      </x:c>
      <x:c r="C38" s="14" t="str">
        <x:v>Staple</x:v>
      </x:c>
      <x:c r="D38" s="14" t="str">
        <x:v>Ogi</x:v>
      </x:c>
      <x:c r="E38" s="14" t="str">
        <x:v>Nigeria</x:v>
      </x:c>
      <x:c r="F38" s="63" t="b">
        <x:v>1</x:v>
      </x:c>
      <x:c r="G38" s="14" t="str">
        <x:v>STAPLE</x:v>
      </x:c>
      <x:c r="H38" s="14" t="str">
        <x:v>Use cooked/mixed-dish source where available</x:v>
      </x:c>
    </x:row>
    <x:row r="39">
      <x:c r="A39" s="14" t="str">
        <x:v>NG-M004</x:v>
      </x:c>
      <x:c r="B39" s="14" t="n">
        <x:v>2</x:v>
      </x:c>
      <x:c r="C39" s="14" t="str">
        <x:v>Protein</x:v>
      </x:c>
      <x:c r="D39" s="14" t="str">
        <x:v>Moi-moi</x:v>
      </x:c>
      <x:c r="E39" s="14" t="str">
        <x:v>Nigeria</x:v>
      </x:c>
      <x:c r="F39" s="63" t="b">
        <x:v>1</x:v>
      </x:c>
      <x:c r="G39" s="14" t="str">
        <x:v>PROTEIN</x:v>
      </x:c>
      <x:c r="H39" s="14" t="str">
        <x:v>Prefer source-specific cooked/prepared record</x:v>
      </x:c>
    </x:row>
    <x:row r="40">
      <x:c r="A40" s="14" t="str">
        <x:v>NG-M004</x:v>
      </x:c>
      <x:c r="B40" s="14" t="n">
        <x:v>3</x:v>
      </x:c>
      <x:c r="C40" s="14" t="str">
        <x:v>Vegetable/Fruit</x:v>
      </x:c>
      <x:c r="D40" s="14" t="str">
        <x:v>Fruit</x:v>
      </x:c>
      <x:c r="E40" s="14" t="str">
        <x:v>Nigeria</x:v>
      </x:c>
      <x:c r="F40" s="63" t="b">
        <x:v>1</x:v>
      </x:c>
      <x:c r="G40" s="14" t="str">
        <x:v>VEG_FRUIT</x:v>
      </x:c>
      <x:c r="H40" s="14" t="str">
        <x:v>Prioritise leafy or vitamin-C/A-rich options as relevant</x:v>
      </x:c>
    </x:row>
    <x:row r="41">
      <x:c r="A41" s="14" t="str">
        <x:v>NG-M004</x:v>
      </x:c>
      <x:c r="B41" s="14" t="n">
        <x:v>4</x:v>
      </x:c>
      <x:c r="C41" s="14" t="str">
        <x:v>Optional improvement</x:v>
      </x:c>
      <x:c r="D41" s="14" t="str">
        <x:v>Milk optional</x:v>
      </x:c>
      <x:c r="E41" s="14" t="str">
        <x:v>Nigeria</x:v>
      </x:c>
      <x:c r="F41" s="63" t="b">
        <x:v>0</x:v>
      </x:c>
      <x:c r="G41" s="14" t="str">
        <x:v>IMPROVEMENT</x:v>
      </x:c>
      <x:c r="H41" s="14" t="str">
        <x:v>Offer only if available/affordable</x:v>
      </x:c>
    </x:row>
    <x:row r="42">
      <x:c r="A42" s="14" t="str">
        <x:v>NG-M005</x:v>
      </x:c>
      <x:c r="B42" s="14" t="n">
        <x:v>1</x:v>
      </x:c>
      <x:c r="C42" s="14" t="str">
        <x:v>Staple</x:v>
      </x:c>
      <x:c r="D42" s="14" t="str">
        <x:v>Jollof rice</x:v>
      </x:c>
      <x:c r="E42" s="14" t="str">
        <x:v>Nigeria</x:v>
      </x:c>
      <x:c r="F42" s="63" t="b">
        <x:v>1</x:v>
      </x:c>
      <x:c r="G42" s="14" t="str">
        <x:v>STAPLE</x:v>
      </x:c>
      <x:c r="H42" s="14" t="str">
        <x:v>Use cooked/mixed-dish source where available</x:v>
      </x:c>
    </x:row>
    <x:row r="43">
      <x:c r="A43" s="14" t="str">
        <x:v>NG-M005</x:v>
      </x:c>
      <x:c r="B43" s="14" t="n">
        <x:v>2</x:v>
      </x:c>
      <x:c r="C43" s="14" t="str">
        <x:v>Protein</x:v>
      </x:c>
      <x:c r="D43" s="14" t="str">
        <x:v>Egg</x:v>
      </x:c>
      <x:c r="E43" s="14" t="str">
        <x:v>Nigeria</x:v>
      </x:c>
      <x:c r="F43" s="63" t="b">
        <x:v>1</x:v>
      </x:c>
      <x:c r="G43" s="14" t="str">
        <x:v>PROTEIN</x:v>
      </x:c>
      <x:c r="H43" s="14" t="str">
        <x:v>Prefer source-specific cooked/prepared record</x:v>
      </x:c>
    </x:row>
    <x:row r="44">
      <x:c r="A44" s="14" t="str">
        <x:v>NG-M005</x:v>
      </x:c>
      <x:c r="B44" s="14" t="n">
        <x:v>3</x:v>
      </x:c>
      <x:c r="C44" s="14" t="str">
        <x:v>Vegetable/Fruit</x:v>
      </x:c>
      <x:c r="D44" s="14" t="str">
        <x:v>Vegetables</x:v>
      </x:c>
      <x:c r="E44" s="14" t="str">
        <x:v>Nigeria</x:v>
      </x:c>
      <x:c r="F44" s="63" t="b">
        <x:v>1</x:v>
      </x:c>
      <x:c r="G44" s="14" t="str">
        <x:v>VEG_FRUIT</x:v>
      </x:c>
      <x:c r="H44" s="14" t="str">
        <x:v>Prioritise leafy or vitamin-C/A-rich options as relevant</x:v>
      </x:c>
    </x:row>
    <x:row r="45">
      <x:c r="A45" s="14" t="str">
        <x:v>NG-M005</x:v>
      </x:c>
      <x:c r="B45" s="14" t="n">
        <x:v>4</x:v>
      </x:c>
      <x:c r="C45" s="14" t="str">
        <x:v>Optional improvement</x:v>
      </x:c>
      <x:c r="D45" s="14" t="str">
        <x:v>Fruit</x:v>
      </x:c>
      <x:c r="E45" s="14" t="str">
        <x:v>Nigeria</x:v>
      </x:c>
      <x:c r="F45" s="63" t="b">
        <x:v>0</x:v>
      </x:c>
      <x:c r="G45" s="14" t="str">
        <x:v>IMPROVEMENT</x:v>
      </x:c>
      <x:c r="H45" s="14" t="str">
        <x:v>Offer only if available/affordable</x:v>
      </x:c>
    </x:row>
    <x:row r="46">
      <x:c r="A46" s="14" t="str">
        <x:v>NG-M006</x:v>
      </x:c>
      <x:c r="B46" s="14" t="n">
        <x:v>1</x:v>
      </x:c>
      <x:c r="C46" s="14" t="str">
        <x:v>Staple</x:v>
      </x:c>
      <x:c r="D46" s="14" t="str">
        <x:v>Plantain</x:v>
      </x:c>
      <x:c r="E46" s="14" t="str">
        <x:v>Nigeria</x:v>
      </x:c>
      <x:c r="F46" s="63" t="b">
        <x:v>1</x:v>
      </x:c>
      <x:c r="G46" s="14" t="str">
        <x:v>STAPLE</x:v>
      </x:c>
      <x:c r="H46" s="14" t="str">
        <x:v>Use cooked/mixed-dish source where available</x:v>
      </x:c>
    </x:row>
    <x:row r="47">
      <x:c r="A47" s="14" t="str">
        <x:v>NG-M006</x:v>
      </x:c>
      <x:c r="B47" s="14" t="n">
        <x:v>2</x:v>
      </x:c>
      <x:c r="C47" s="14" t="str">
        <x:v>Protein</x:v>
      </x:c>
      <x:c r="D47" s="14" t="str">
        <x:v>Beans</x:v>
      </x:c>
      <x:c r="E47" s="14" t="str">
        <x:v>Nigeria</x:v>
      </x:c>
      <x:c r="F47" s="63" t="b">
        <x:v>1</x:v>
      </x:c>
      <x:c r="G47" s="14" t="str">
        <x:v>PROTEIN</x:v>
      </x:c>
      <x:c r="H47" s="14" t="str">
        <x:v>Prefer source-specific cooked/prepared record</x:v>
      </x:c>
    </x:row>
    <x:row r="48">
      <x:c r="A48" s="14" t="str">
        <x:v>NG-M006</x:v>
      </x:c>
      <x:c r="B48" s="14" t="n">
        <x:v>3</x:v>
      </x:c>
      <x:c r="C48" s="14" t="str">
        <x:v>Vegetable/Fruit</x:v>
      </x:c>
      <x:c r="D48" s="14" t="str">
        <x:v>Leafy greens</x:v>
      </x:c>
      <x:c r="E48" s="14" t="str">
        <x:v>Nigeria</x:v>
      </x:c>
      <x:c r="F48" s="63" t="b">
        <x:v>1</x:v>
      </x:c>
      <x:c r="G48" s="14" t="str">
        <x:v>VEG_FRUIT</x:v>
      </x:c>
      <x:c r="H48" s="14" t="str">
        <x:v>Prioritise leafy or vitamin-C/A-rich options as relevant</x:v>
      </x:c>
    </x:row>
    <x:row r="49">
      <x:c r="A49" s="14" t="str">
        <x:v>NG-M006</x:v>
      </x:c>
      <x:c r="B49" s="14" t="n">
        <x:v>4</x:v>
      </x:c>
      <x:c r="C49" s="14" t="str">
        <x:v>Optional improvement</x:v>
      </x:c>
      <x:c r="D49" s="14" t="str">
        <x:v>Fish optional</x:v>
      </x:c>
      <x:c r="E49" s="14" t="str">
        <x:v>Nigeria</x:v>
      </x:c>
      <x:c r="F49" s="63" t="b">
        <x:v>0</x:v>
      </x:c>
      <x:c r="G49" s="14" t="str">
        <x:v>IMPROVEMENT</x:v>
      </x:c>
      <x:c r="H49" s="14" t="str">
        <x:v>Offer only if available/affordable</x:v>
      </x:c>
    </x:row>
    <x:row r="50">
      <x:c r="A50" s="14" t="str">
        <x:v>SN-M001</x:v>
      </x:c>
      <x:c r="B50" s="14" t="n">
        <x:v>1</x:v>
      </x:c>
      <x:c r="C50" s="14" t="str">
        <x:v>Staple</x:v>
      </x:c>
      <x:c r="D50" s="14" t="str">
        <x:v>Millet</x:v>
      </x:c>
      <x:c r="E50" s="14" t="str">
        <x:v>Senegal</x:v>
      </x:c>
      <x:c r="F50" s="63" t="b">
        <x:v>1</x:v>
      </x:c>
      <x:c r="G50" s="14" t="str">
        <x:v>STAPLE</x:v>
      </x:c>
      <x:c r="H50" s="14" t="str">
        <x:v>Use cooked/mixed-dish source where available</x:v>
      </x:c>
    </x:row>
    <x:row r="51">
      <x:c r="A51" s="14" t="str">
        <x:v>SN-M001</x:v>
      </x:c>
      <x:c r="B51" s="14" t="n">
        <x:v>2</x:v>
      </x:c>
      <x:c r="C51" s="14" t="str">
        <x:v>Protein</x:v>
      </x:c>
      <x:c r="D51" s="14" t="str">
        <x:v>Cowpeas + fish</x:v>
      </x:c>
      <x:c r="E51" s="14" t="str">
        <x:v>Senegal</x:v>
      </x:c>
      <x:c r="F51" s="63" t="b">
        <x:v>1</x:v>
      </x:c>
      <x:c r="G51" s="14" t="str">
        <x:v>PROTEIN</x:v>
      </x:c>
      <x:c r="H51" s="14" t="str">
        <x:v>Prefer source-specific cooked/prepared record</x:v>
      </x:c>
    </x:row>
    <x:row r="52">
      <x:c r="A52" s="14" t="str">
        <x:v>SN-M001</x:v>
      </x:c>
      <x:c r="B52" s="14" t="n">
        <x:v>3</x:v>
      </x:c>
      <x:c r="C52" s="14" t="str">
        <x:v>Vegetable/Fruit</x:v>
      </x:c>
      <x:c r="D52" s="14" t="str">
        <x:v>Vegetable sauce</x:v>
      </x:c>
      <x:c r="E52" s="14" t="str">
        <x:v>Senegal</x:v>
      </x:c>
      <x:c r="F52" s="63" t="b">
        <x:v>1</x:v>
      </x:c>
      <x:c r="G52" s="14" t="str">
        <x:v>VEG_FRUIT</x:v>
      </x:c>
      <x:c r="H52" s="14" t="str">
        <x:v>Prioritise leafy or vitamin-C/A-rich options as relevant</x:v>
      </x:c>
    </x:row>
    <x:row r="53">
      <x:c r="A53" s="14" t="str">
        <x:v>SN-M001</x:v>
      </x:c>
      <x:c r="B53" s="14" t="n">
        <x:v>4</x:v>
      </x:c>
      <x:c r="C53" s="14" t="str">
        <x:v>Optional improvement</x:v>
      </x:c>
      <x:c r="D53" s="14" t="str">
        <x:v>Fruit</x:v>
      </x:c>
      <x:c r="E53" s="14" t="str">
        <x:v>Senegal</x:v>
      </x:c>
      <x:c r="F53" s="63" t="b">
        <x:v>0</x:v>
      </x:c>
      <x:c r="G53" s="14" t="str">
        <x:v>IMPROVEMENT</x:v>
      </x:c>
      <x:c r="H53" s="14" t="str">
        <x:v>Offer only if available/affordable</x:v>
      </x:c>
    </x:row>
    <x:row r="54">
      <x:c r="A54" s="14" t="str">
        <x:v>SN-M002</x:v>
      </x:c>
      <x:c r="B54" s="14" t="n">
        <x:v>1</x:v>
      </x:c>
      <x:c r="C54" s="14" t="str">
        <x:v>Staple</x:v>
      </x:c>
      <x:c r="D54" s="14" t="str">
        <x:v>Rice</x:v>
      </x:c>
      <x:c r="E54" s="14" t="str">
        <x:v>Senegal</x:v>
      </x:c>
      <x:c r="F54" s="63" t="b">
        <x:v>1</x:v>
      </x:c>
      <x:c r="G54" s="14" t="str">
        <x:v>STAPLE</x:v>
      </x:c>
      <x:c r="H54" s="14" t="str">
        <x:v>Use cooked/mixed-dish source where available</x:v>
      </x:c>
    </x:row>
    <x:row r="55">
      <x:c r="A55" s="14" t="str">
        <x:v>SN-M002</x:v>
      </x:c>
      <x:c r="B55" s="14" t="n">
        <x:v>2</x:v>
      </x:c>
      <x:c r="C55" s="14" t="str">
        <x:v>Protein</x:v>
      </x:c>
      <x:c r="D55" s="14" t="str">
        <x:v>Fish</x:v>
      </x:c>
      <x:c r="E55" s="14" t="str">
        <x:v>Senegal</x:v>
      </x:c>
      <x:c r="F55" s="63" t="b">
        <x:v>1</x:v>
      </x:c>
      <x:c r="G55" s="14" t="str">
        <x:v>PROTEIN</x:v>
      </x:c>
      <x:c r="H55" s="14" t="str">
        <x:v>Prefer source-specific cooked/prepared record</x:v>
      </x:c>
    </x:row>
    <x:row r="56">
      <x:c r="A56" s="14" t="str">
        <x:v>SN-M002</x:v>
      </x:c>
      <x:c r="B56" s="14" t="n">
        <x:v>3</x:v>
      </x:c>
      <x:c r="C56" s="14" t="str">
        <x:v>Vegetable/Fruit</x:v>
      </x:c>
      <x:c r="D56" s="14" t="str">
        <x:v>Vegetables</x:v>
      </x:c>
      <x:c r="E56" s="14" t="str">
        <x:v>Senegal</x:v>
      </x:c>
      <x:c r="F56" s="63" t="b">
        <x:v>1</x:v>
      </x:c>
      <x:c r="G56" s="14" t="str">
        <x:v>VEG_FRUIT</x:v>
      </x:c>
      <x:c r="H56" s="14" t="str">
        <x:v>Prioritise leafy or vitamin-C/A-rich options as relevant</x:v>
      </x:c>
    </x:row>
    <x:row r="57">
      <x:c r="A57" s="14" t="str">
        <x:v>SN-M002</x:v>
      </x:c>
      <x:c r="B57" s="14" t="n">
        <x:v>4</x:v>
      </x:c>
      <x:c r="C57" s="14" t="str">
        <x:v>Optional improvement</x:v>
      </x:c>
      <x:c r="D57" s="14" t="str">
        <x:v>Fruit</x:v>
      </x:c>
      <x:c r="E57" s="14" t="str">
        <x:v>Senegal</x:v>
      </x:c>
      <x:c r="F57" s="63" t="b">
        <x:v>0</x:v>
      </x:c>
      <x:c r="G57" s="14" t="str">
        <x:v>IMPROVEMENT</x:v>
      </x:c>
      <x:c r="H57" s="14" t="str">
        <x:v>Offer only if available/affordable</x:v>
      </x:c>
    </x:row>
    <x:row r="58">
      <x:c r="A58" s="14" t="str">
        <x:v>SN-M003</x:v>
      </x:c>
      <x:c r="B58" s="14" t="n">
        <x:v>1</x:v>
      </x:c>
      <x:c r="C58" s="14" t="str">
        <x:v>Staple</x:v>
      </x:c>
      <x:c r="D58" s="14" t="str">
        <x:v>Millet</x:v>
      </x:c>
      <x:c r="E58" s="14" t="str">
        <x:v>Senegal</x:v>
      </x:c>
      <x:c r="F58" s="63" t="b">
        <x:v>1</x:v>
      </x:c>
      <x:c r="G58" s="14" t="str">
        <x:v>STAPLE</x:v>
      </x:c>
      <x:c r="H58" s="14" t="str">
        <x:v>Use cooked/mixed-dish source where available</x:v>
      </x:c>
    </x:row>
    <x:row r="59">
      <x:c r="A59" s="14" t="str">
        <x:v>SN-M003</x:v>
      </x:c>
      <x:c r="B59" s="14" t="n">
        <x:v>2</x:v>
      </x:c>
      <x:c r="C59" s="14" t="str">
        <x:v>Protein</x:v>
      </x:c>
      <x:c r="D59" s="14" t="str">
        <x:v>Milk + groundnuts</x:v>
      </x:c>
      <x:c r="E59" s="14" t="str">
        <x:v>Senegal</x:v>
      </x:c>
      <x:c r="F59" s="63" t="b">
        <x:v>1</x:v>
      </x:c>
      <x:c r="G59" s="14" t="str">
        <x:v>PROTEIN</x:v>
      </x:c>
      <x:c r="H59" s="14" t="str">
        <x:v>Prefer source-specific cooked/prepared record</x:v>
      </x:c>
    </x:row>
    <x:row r="60">
      <x:c r="A60" s="14" t="str">
        <x:v>SN-M003</x:v>
      </x:c>
      <x:c r="B60" s="14" t="n">
        <x:v>3</x:v>
      </x:c>
      <x:c r="C60" s="14" t="str">
        <x:v>Vegetable/Fruit</x:v>
      </x:c>
      <x:c r="D60" s="14" t="str">
        <x:v>Optional fruit</x:v>
      </x:c>
      <x:c r="E60" s="14" t="str">
        <x:v>Senegal</x:v>
      </x:c>
      <x:c r="F60" s="63" t="b">
        <x:v>1</x:v>
      </x:c>
      <x:c r="G60" s="14" t="str">
        <x:v>VEG_FRUIT</x:v>
      </x:c>
      <x:c r="H60" s="14" t="str">
        <x:v>Prioritise leafy or vitamin-C/A-rich options as relevant</x:v>
      </x:c>
    </x:row>
    <x:row r="61">
      <x:c r="A61" s="14" t="str">
        <x:v>SN-M003</x:v>
      </x:c>
      <x:c r="B61" s="14" t="n">
        <x:v>4</x:v>
      </x:c>
      <x:c r="C61" s="14" t="str">
        <x:v>Optional improvement</x:v>
      </x:c>
      <x:c r="D61" s="14" t="str">
        <x:v>Baobab/papaya</x:v>
      </x:c>
      <x:c r="E61" s="14" t="str">
        <x:v>Senegal</x:v>
      </x:c>
      <x:c r="F61" s="63" t="b">
        <x:v>0</x:v>
      </x:c>
      <x:c r="G61" s="14" t="str">
        <x:v>IMPROVEMENT</x:v>
      </x:c>
      <x:c r="H61" s="14" t="str">
        <x:v>Offer only if available/affordable</x:v>
      </x:c>
    </x:row>
    <x:row r="62">
      <x:c r="A62" s="14" t="str">
        <x:v>SN-M004</x:v>
      </x:c>
      <x:c r="B62" s="14" t="n">
        <x:v>1</x:v>
      </x:c>
      <x:c r="C62" s="14" t="str">
        <x:v>Staple</x:v>
      </x:c>
      <x:c r="D62" s="14" t="str">
        <x:v>Rice</x:v>
      </x:c>
      <x:c r="E62" s="14" t="str">
        <x:v>Senegal</x:v>
      </x:c>
      <x:c r="F62" s="63" t="b">
        <x:v>1</x:v>
      </x:c>
      <x:c r="G62" s="14" t="str">
        <x:v>STAPLE</x:v>
      </x:c>
      <x:c r="H62" s="14" t="str">
        <x:v>Use cooked/mixed-dish source where available</x:v>
      </x:c>
    </x:row>
    <x:row r="63">
      <x:c r="A63" s="14" t="str">
        <x:v>SN-M004</x:v>
      </x:c>
      <x:c r="B63" s="14" t="n">
        <x:v>2</x:v>
      </x:c>
      <x:c r="C63" s="14" t="str">
        <x:v>Protein</x:v>
      </x:c>
      <x:c r="D63" s="14" t="str">
        <x:v>Cowpeas</x:v>
      </x:c>
      <x:c r="E63" s="14" t="str">
        <x:v>Senegal</x:v>
      </x:c>
      <x:c r="F63" s="63" t="b">
        <x:v>1</x:v>
      </x:c>
      <x:c r="G63" s="14" t="str">
        <x:v>PROTEIN</x:v>
      </x:c>
      <x:c r="H63" s="14" t="str">
        <x:v>Prefer source-specific cooked/prepared record</x:v>
      </x:c>
    </x:row>
    <x:row r="64">
      <x:c r="A64" s="14" t="str">
        <x:v>SN-M004</x:v>
      </x:c>
      <x:c r="B64" s="14" t="n">
        <x:v>3</x:v>
      </x:c>
      <x:c r="C64" s="14" t="str">
        <x:v>Vegetable/Fruit</x:v>
      </x:c>
      <x:c r="D64" s="14" t="str">
        <x:v>Leafy vegetables</x:v>
      </x:c>
      <x:c r="E64" s="14" t="str">
        <x:v>Senegal</x:v>
      </x:c>
      <x:c r="F64" s="63" t="b">
        <x:v>1</x:v>
      </x:c>
      <x:c r="G64" s="14" t="str">
        <x:v>VEG_FRUIT</x:v>
      </x:c>
      <x:c r="H64" s="14" t="str">
        <x:v>Prioritise leafy or vitamin-C/A-rich options as relevant</x:v>
      </x:c>
    </x:row>
    <x:row r="65">
      <x:c r="A65" s="14" t="str">
        <x:v>SN-M004</x:v>
      </x:c>
      <x:c r="B65" s="14" t="n">
        <x:v>4</x:v>
      </x:c>
      <x:c r="C65" s="14" t="str">
        <x:v>Optional improvement</x:v>
      </x:c>
      <x:c r="D65" s="14" t="str">
        <x:v>Egg/fish optional</x:v>
      </x:c>
      <x:c r="E65" s="14" t="str">
        <x:v>Senegal</x:v>
      </x:c>
      <x:c r="F65" s="63" t="b">
        <x:v>0</x:v>
      </x:c>
      <x:c r="G65" s="14" t="str">
        <x:v>IMPROVEMENT</x:v>
      </x:c>
      <x:c r="H65" s="14" t="str">
        <x:v>Offer only if available/affordable</x:v>
      </x:c>
    </x:row>
    <x:row r="66">
      <x:c r="A66" s="14" t="str">
        <x:v>SN-M005</x:v>
      </x:c>
      <x:c r="B66" s="14" t="n">
        <x:v>1</x:v>
      </x:c>
      <x:c r="C66" s="14" t="str">
        <x:v>Staple</x:v>
      </x:c>
      <x:c r="D66" s="14" t="str">
        <x:v>Yellow-fleshed sweet potato</x:v>
      </x:c>
      <x:c r="E66" s="14" t="str">
        <x:v>Senegal</x:v>
      </x:c>
      <x:c r="F66" s="63" t="b">
        <x:v>1</x:v>
      </x:c>
      <x:c r="G66" s="14" t="str">
        <x:v>STAPLE</x:v>
      </x:c>
      <x:c r="H66" s="14" t="str">
        <x:v>Use cooked/mixed-dish source where available</x:v>
      </x:c>
    </x:row>
    <x:row r="67">
      <x:c r="A67" s="14" t="str">
        <x:v>SN-M005</x:v>
      </x:c>
      <x:c r="B67" s="14" t="n">
        <x:v>2</x:v>
      </x:c>
      <x:c r="C67" s="14" t="str">
        <x:v>Protein</x:v>
      </x:c>
      <x:c r="D67" s="14" t="str">
        <x:v>Cowpeas + fish</x:v>
      </x:c>
      <x:c r="E67" s="14" t="str">
        <x:v>Senegal</x:v>
      </x:c>
      <x:c r="F67" s="63" t="b">
        <x:v>1</x:v>
      </x:c>
      <x:c r="G67" s="14" t="str">
        <x:v>PROTEIN</x:v>
      </x:c>
      <x:c r="H67" s="14" t="str">
        <x:v>Prefer source-specific cooked/prepared record</x:v>
      </x:c>
    </x:row>
    <x:row r="68">
      <x:c r="A68" s="14" t="str">
        <x:v>SN-M005</x:v>
      </x:c>
      <x:c r="B68" s="14" t="n">
        <x:v>3</x:v>
      </x:c>
      <x:c r="C68" s="14" t="str">
        <x:v>Vegetable/Fruit</x:v>
      </x:c>
      <x:c r="D68" s="14" t="str">
        <x:v>Vegetables</x:v>
      </x:c>
      <x:c r="E68" s="14" t="str">
        <x:v>Senegal</x:v>
      </x:c>
      <x:c r="F68" s="63" t="b">
        <x:v>1</x:v>
      </x:c>
      <x:c r="G68" s="14" t="str">
        <x:v>VEG_FRUIT</x:v>
      </x:c>
      <x:c r="H68" s="14" t="str">
        <x:v>Prioritise leafy or vitamin-C/A-rich options as relevant</x:v>
      </x:c>
    </x:row>
    <x:row r="69">
      <x:c r="A69" s="14" t="str">
        <x:v>SN-M005</x:v>
      </x:c>
      <x:c r="B69" s="14" t="n">
        <x:v>4</x:v>
      </x:c>
      <x:c r="C69" s="14" t="str">
        <x:v>Optional improvement</x:v>
      </x:c>
      <x:c r="D69" s="14" t="str">
        <x:v>Fruit</x:v>
      </x:c>
      <x:c r="E69" s="14" t="str">
        <x:v>Senegal</x:v>
      </x:c>
      <x:c r="F69" s="63" t="b">
        <x:v>0</x:v>
      </x:c>
      <x:c r="G69" s="14" t="str">
        <x:v>IMPROVEMENT</x:v>
      </x:c>
      <x:c r="H69" s="14" t="str">
        <x:v>Offer only if available/affordable</x:v>
      </x:c>
    </x:row>
    <x:row r="70">
      <x:c r="A70" s="14" t="str">
        <x:v>SN-M006</x:v>
      </x:c>
      <x:c r="B70" s="14" t="n">
        <x:v>1</x:v>
      </x:c>
      <x:c r="C70" s="14" t="str">
        <x:v>Staple</x:v>
      </x:c>
      <x:c r="D70" s="14" t="str">
        <x:v>Rice</x:v>
      </x:c>
      <x:c r="E70" s="14" t="str">
        <x:v>Senegal</x:v>
      </x:c>
      <x:c r="F70" s="63" t="b">
        <x:v>1</x:v>
      </x:c>
      <x:c r="G70" s="14" t="str">
        <x:v>STAPLE</x:v>
      </x:c>
      <x:c r="H70" s="14" t="str">
        <x:v>Use cooked/mixed-dish source where available</x:v>
      </x:c>
    </x:row>
    <x:row r="71">
      <x:c r="A71" s="14" t="str">
        <x:v>SN-M006</x:v>
      </x:c>
      <x:c r="B71" s="14" t="n">
        <x:v>2</x:v>
      </x:c>
      <x:c r="C71" s="14" t="str">
        <x:v>Protein</x:v>
      </x:c>
      <x:c r="D71" s="14" t="str">
        <x:v>Egg</x:v>
      </x:c>
      <x:c r="E71" s="14" t="str">
        <x:v>Senegal</x:v>
      </x:c>
      <x:c r="F71" s="63" t="b">
        <x:v>1</x:v>
      </x:c>
      <x:c r="G71" s="14" t="str">
        <x:v>PROTEIN</x:v>
      </x:c>
      <x:c r="H71" s="14" t="str">
        <x:v>Prefer source-specific cooked/prepared record</x:v>
      </x:c>
    </x:row>
    <x:row r="72">
      <x:c r="A72" s="14" t="str">
        <x:v>SN-M006</x:v>
      </x:c>
      <x:c r="B72" s="14" t="n">
        <x:v>3</x:v>
      </x:c>
      <x:c r="C72" s="14" t="str">
        <x:v>Vegetable/Fruit</x:v>
      </x:c>
      <x:c r="D72" s="14" t="str">
        <x:v>Moringa/leafy vegetable sauce</x:v>
      </x:c>
      <x:c r="E72" s="14" t="str">
        <x:v>Senegal</x:v>
      </x:c>
      <x:c r="F72" s="63" t="b">
        <x:v>1</x:v>
      </x:c>
      <x:c r="G72" s="14" t="str">
        <x:v>VEG_FRUIT</x:v>
      </x:c>
      <x:c r="H72" s="14" t="str">
        <x:v>Prioritise leafy or vitamin-C/A-rich options as relevant</x:v>
      </x:c>
    </x:row>
    <x:row r="73">
      <x:c r="A73" s="14" t="str">
        <x:v>SN-M006</x:v>
      </x:c>
      <x:c r="B73" s="14" t="n">
        <x:v>4</x:v>
      </x:c>
      <x:c r="C73" s="14" t="str">
        <x:v>Optional improvement</x:v>
      </x:c>
      <x:c r="D73" s="14" t="str">
        <x:v>Fruit</x:v>
      </x:c>
      <x:c r="E73" s="14" t="str">
        <x:v>Senegal</x:v>
      </x:c>
      <x:c r="F73" s="63" t="b">
        <x:v>0</x:v>
      </x:c>
      <x:c r="G73" s="14" t="str">
        <x:v>IMPROVEMENT</x:v>
      </x:c>
      <x:c r="H73" s="14" t="str">
        <x:v>Offer only if available/affordable</x:v>
      </x:c>
    </x:row>
  </x:sheetData>
  <x:pageMargins left="0.7" right="0.7" top="0.75" bottom="0.75" header="0.3" footer="0.3"/>
  <x:tableParts count="1">
    <x:tablePart xmlns:r="http://schemas.openxmlformats.org/officeDocument/2006/relationships" r:id="R408e13af272b4da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</x:cols>
  <x:sheetData>
    <x:row r="1">
      <x:c r="A1" s="62" t="str">
        <x:v>Country</x:v>
      </x:c>
      <x:c r="B1" s="62" t="str">
        <x:v>Food_or_Dish</x:v>
      </x:c>
      <x:c r="C1" s="62" t="str">
        <x:v>Household_Measure</x:v>
      </x:c>
      <x:c r="D1" s="62" t="str">
        <x:v>Default_Gram_Value</x:v>
      </x:c>
      <x:c r="E1" s="62" t="str">
        <x:v>Status</x:v>
      </x:c>
      <x:c r="F1" s="62" t="str">
        <x:v>Use_In_Engine</x:v>
      </x:c>
      <x:c r="G1" s="62" t="str">
        <x:v>Notes</x:v>
      </x:c>
    </x:row>
    <x:row r="2">
      <x:c r="A2" s="14" t="str">
        <x:v>Kenya</x:v>
      </x:c>
      <x:c r="B2" s="14" t="str">
        <x:v>Ugali</x:v>
      </x:c>
      <x:c r="C2" s="14" t="str">
        <x:v>serving/piece</x:v>
      </x:c>
      <x:c r="D2" s="14"/>
      <x:c r="E2" s="14" t="str">
        <x:v>NEEDS_LOCAL_VALIDATION</x:v>
      </x:c>
      <x:c r="F2" s="14" t="str">
        <x:v>NO</x:v>
      </x:c>
      <x:c r="G2" s="14" t="str">
        <x:v>Do not invent gram conversion; validate from recipe/field portion work</x:v>
      </x:c>
    </x:row>
    <x:row r="3">
      <x:c r="A3" s="14" t="str">
        <x:v>Kenya</x:v>
      </x:c>
      <x:c r="B3" s="14" t="str">
        <x:v>Cooked leafy vegetables</x:v>
      </x:c>
      <x:c r="C3" s="14" t="str">
        <x:v>serving spoon</x:v>
      </x:c>
      <x:c r="D3" s="14"/>
      <x:c r="E3" s="14" t="str">
        <x:v>NEEDS_LOCAL_VALIDATION</x:v>
      </x:c>
      <x:c r="F3" s="14" t="str">
        <x:v>NO</x:v>
      </x:c>
      <x:c r="G3" s="14" t="str">
        <x:v>Capture local spoon size during pilot</x:v>
      </x:c>
    </x:row>
    <x:row r="4">
      <x:c r="A4" s="14" t="str">
        <x:v>Kenya</x:v>
      </x:c>
      <x:c r="B4" s="14" t="str">
        <x:v>Egg</x:v>
      </x:c>
      <x:c r="C4" s="14" t="str">
        <x:v>1 whole egg</x:v>
      </x:c>
      <x:c r="D4" s="14"/>
      <x:c r="E4" s="14" t="str">
        <x:v>SOURCE_MATCH_REQUIRED</x:v>
      </x:c>
      <x:c r="F4" s="14" t="str">
        <x:v>LIMITED</x:v>
      </x:c>
      <x:c r="G4" s="14" t="str">
        <x:v>Map to source edible portion/size before calculation</x:v>
      </x:c>
    </x:row>
    <x:row r="5">
      <x:c r="A5" s="14" t="str">
        <x:v>Nigeria</x:v>
      </x:c>
      <x:c r="B5" s="14" t="str">
        <x:v>Eba</x:v>
      </x:c>
      <x:c r="C5" s="14" t="str">
        <x:v>wrap/serving</x:v>
      </x:c>
      <x:c r="D5" s="14"/>
      <x:c r="E5" s="14" t="str">
        <x:v>NEEDS_LOCAL_VALIDATION</x:v>
      </x:c>
      <x:c r="F5" s="14" t="str">
        <x:v>NO</x:v>
      </x:c>
      <x:c r="G5" s="14" t="str">
        <x:v>Local serving sizes vary substantially</x:v>
      </x:c>
    </x:row>
    <x:row r="6">
      <x:c r="A6" s="14" t="str">
        <x:v>Nigeria</x:v>
      </x:c>
      <x:c r="B6" s="14" t="str">
        <x:v>Moi-moi</x:v>
      </x:c>
      <x:c r="C6" s="14" t="str">
        <x:v>1 wrap/cup</x:v>
      </x:c>
      <x:c r="D6" s="14"/>
      <x:c r="E6" s="14" t="str">
        <x:v>NEEDS_LOCAL_VALIDATION</x:v>
      </x:c>
      <x:c r="F6" s="14" t="str">
        <x:v>NO</x:v>
      </x:c>
      <x:c r="G6" s="14" t="str">
        <x:v>Recipe and package size vary</x:v>
      </x:c>
    </x:row>
    <x:row r="7">
      <x:c r="A7" s="14" t="str">
        <x:v>Nigeria</x:v>
      </x:c>
      <x:c r="B7" s="14" t="str">
        <x:v>Cooked beans</x:v>
      </x:c>
      <x:c r="C7" s="14" t="str">
        <x:v>cup/serving spoon</x:v>
      </x:c>
      <x:c r="D7" s="14"/>
      <x:c r="E7" s="14" t="str">
        <x:v>NEEDS_LOCAL_VALIDATION</x:v>
      </x:c>
      <x:c r="F7" s="14" t="str">
        <x:v>NO</x:v>
      </x:c>
      <x:c r="G7" s="14" t="str">
        <x:v>Validate household measure-to-gram conversion</x:v>
      </x:c>
    </x:row>
    <x:row r="8">
      <x:c r="A8" s="14" t="str">
        <x:v>Senegal</x:v>
      </x:c>
      <x:c r="B8" s="14" t="str">
        <x:v>Cooked rice</x:v>
      </x:c>
      <x:c r="C8" s="14" t="str">
        <x:v>bowl/serving spoon</x:v>
      </x:c>
      <x:c r="D8" s="14"/>
      <x:c r="E8" s="14" t="str">
        <x:v>NEEDS_LOCAL_VALIDATION</x:v>
      </x:c>
      <x:c r="F8" s="14" t="str">
        <x:v>NO</x:v>
      </x:c>
      <x:c r="G8" s="14" t="str">
        <x:v>Pilot validation required</x:v>
      </x:c>
    </x:row>
    <x:row r="9">
      <x:c r="A9" s="14" t="str">
        <x:v>Senegal</x:v>
      </x:c>
      <x:c r="B9" s="14" t="str">
        <x:v>Millet couscous/porridge</x:v>
      </x:c>
      <x:c r="C9" s="14" t="str">
        <x:v>bowl</x:v>
      </x:c>
      <x:c r="D9" s="14"/>
      <x:c r="E9" s="14" t="str">
        <x:v>NEEDS_LOCAL_VALIDATION</x:v>
      </x:c>
      <x:c r="F9" s="14" t="str">
        <x:v>NO</x:v>
      </x:c>
      <x:c r="G9" s="14" t="str">
        <x:v>Recipe consistency and bowl size required</x:v>
      </x:c>
    </x:row>
    <x:row r="10">
      <x:c r="A10" s="14" t="str">
        <x:v>Senegal</x:v>
      </x:c>
      <x:c r="B10" s="14" t="str">
        <x:v>Fish</x:v>
      </x:c>
      <x:c r="C10" s="14" t="str">
        <x:v>piece</x:v>
      </x:c>
      <x:c r="D10" s="14"/>
      <x:c r="E10" s="14" t="str">
        <x:v>NEEDS_LOCAL_VALIDATION</x:v>
      </x:c>
      <x:c r="F10" s="14" t="str">
        <x:v>NO</x:v>
      </x:c>
      <x:c r="G10" s="14" t="str">
        <x:v>Species and edible portion must be captured</x:v>
      </x:c>
    </x:row>
  </x:sheetData>
  <x:dataValidations count="1">
    <x:dataValidation type="list" sqref="F2:F10">
      <x:formula1>"YES,NO,LIMITED"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ce399b8dd0462a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28" hidden="0" customWidth="1"/>
    <x:col min="15" max="15" width="18" hidden="0" customWidth="1"/>
    <x:col min="16" max="16" width="28" hidden="0" customWidth="1"/>
  </x:cols>
  <x:sheetData>
    <x:row r="1">
      <x:c r="A1" s="62" t="str">
        <x:v>Rule_ID</x:v>
      </x:c>
      <x:c r="B1" s="62" t="str">
        <x:v>Trigger</x:v>
      </x:c>
      <x:c r="C1" s="62" t="str">
        <x:v>Engine_Action</x:v>
      </x:c>
      <x:c r="D1" s="62" t="str">
        <x:v>Reason</x:v>
      </x:c>
      <x:c r="E1" s="62" t="str">
        <x:v>Safety_Level</x:v>
      </x:c>
      <x:c r="F1" s="62" t="str">
        <x:v>Implementation_Status</x:v>
      </x:c>
    </x:row>
    <x:row r="2">
      <x:c r="A2" s="14" t="str">
        <x:v>R001</x:v>
      </x:c>
      <x:c r="B2" s="14" t="str">
        <x:v>Meal contains staple only</x:v>
      </x:c>
      <x:c r="C2" s="14" t="str">
        <x:v>Recommend adding at least one protein/legume and one vegetable/fruit option from foods available</x:v>
      </x:c>
      <x:c r="D2" s="14" t="str">
        <x:v>Improve meal diversity without assuming clinical deficiency</x:v>
      </x:c>
      <x:c r="E2" s="14" t="str">
        <x:v>Nutrition</x:v>
      </x:c>
      <x:c r="F2" s="14" t="str">
        <x:v>READY</x:v>
      </x:c>
    </x:row>
    <x:row r="3">
      <x:c r="A3" s="14" t="str">
        <x:v>R002</x:v>
      </x:c>
      <x:c r="B3" s="14" t="str">
        <x:v>Plant-based iron source present</x:v>
      </x:c>
      <x:c r="C3" s="14" t="str">
        <x:v>Prefer a vitamin-C-rich food in the same meal/day when available</x:v>
      </x:c>
      <x:c r="D3" s="14" t="str">
        <x:v>Supports practical food pairing; do not claim treatment of anaemia</x:v>
      </x:c>
      <x:c r="E3" s="14" t="str">
        <x:v>Nutrition</x:v>
      </x:c>
      <x:c r="F3" s="14" t="str">
        <x:v>READY</x:v>
      </x:c>
    </x:row>
    <x:row r="4">
      <x:c r="A4" s="14" t="str">
        <x:v>R003</x:v>
      </x:c>
      <x:c r="B4" s="14" t="str">
        <x:v>No animal-source food in current meal</x:v>
      </x:c>
      <x:c r="C4" s="14" t="str">
        <x:v>Do not automatically label B12 deficient; flag as a possible full-day gap only after dietary-history check</x:v>
      </x:c>
      <x:c r="D4" s="14" t="str">
        <x:v>Avoid diagnosing from one meal</x:v>
      </x:c>
      <x:c r="E4" s="14" t="str">
        <x:v>Safety</x:v>
      </x:c>
      <x:c r="F4" s="14" t="str">
        <x:v>READY</x:v>
      </x:c>
    </x:row>
    <x:row r="5">
      <x:c r="A5" s="14" t="str">
        <x:v>R004</x:v>
      </x:c>
      <x:c r="B5" s="14" t="str">
        <x:v>User reports prescribed iron/folate or other supplement</x:v>
      </x:c>
      <x:c r="C5" s="14" t="str">
        <x:v>Never advise stopping/replacing prescribed supplement with food</x:v>
      </x:c>
      <x:c r="D5" s="14" t="str">
        <x:v>Food advice complements clinical care</x:v>
      </x:c>
      <x:c r="E5" s="14" t="str">
        <x:v>Clinical</x:v>
      </x:c>
      <x:c r="F5" s="14" t="str">
        <x:v>READY</x:v>
      </x:c>
    </x:row>
    <x:row r="6">
      <x:c r="A6" s="14" t="str">
        <x:v>R005</x:v>
      </x:c>
      <x:c r="B6" s="14" t="str">
        <x:v>User reports severe anaemia, gestational diabetes, hypertension, kidney disease, persistent vomiting, allergy or poor intake</x:v>
      </x:c>
      <x:c r="C6" s="14" t="str">
        <x:v>Stop ordinary optimisation and route to clinical/safety pathway</x:v>
      </x:c>
      <x:c r="D6" s="14" t="str">
        <x:v>Requires individualized clinical assessment</x:v>
      </x:c>
      <x:c r="E6" s="14" t="str">
        <x:v>Clinical</x:v>
      </x:c>
      <x:c r="F6" s="14" t="str">
        <x:v>READY</x:v>
      </x:c>
    </x:row>
    <x:row r="7">
      <x:c r="A7" s="14" t="str">
        <x:v>R006</x:v>
      </x:c>
      <x:c r="B7" s="14" t="str">
        <x:v>Food record is regional/borrowed/lower-quality/pending verification</x:v>
      </x:c>
      <x:c r="C7" s="14" t="str">
        <x:v>Lower confidence and avoid precise adequacy claims</x:v>
      </x:c>
      <x:c r="D7" s="14" t="str">
        <x:v>Protect against false precision</x:v>
      </x:c>
      <x:c r="E7" s="14" t="str">
        <x:v>Data QA</x:v>
      </x:c>
      <x:c r="F7" s="14" t="str">
        <x:v>READY</x:v>
      </x:c>
    </x:row>
    <x:row r="8">
      <x:c r="A8" s="14" t="str">
        <x:v>R007</x:v>
      </x:c>
      <x:c r="B8" s="14" t="str">
        <x:v>Household portion has no validated gram conversion</x:v>
      </x:c>
      <x:c r="C8" s="14" t="str">
        <x:v>Ask quantity follow-up or give qualitative recommendation only</x:v>
      </x:c>
      <x:c r="D8" s="14" t="str">
        <x:v>Do not calculate nutrient totals from invented weights</x:v>
      </x:c>
      <x:c r="E8" s="14" t="str">
        <x:v>Data QA</x:v>
      </x:c>
      <x:c r="F8" s="14" t="str">
        <x:v>READY</x:v>
      </x:c>
    </x:row>
    <x:row r="9">
      <x:c r="A9" s="14" t="str">
        <x:v>R008</x:v>
      </x:c>
      <x:c r="B9" s="14" t="str">
        <x:v>Meal diversity check</x:v>
      </x:c>
      <x:c r="C9" s="14" t="str">
        <x:v>Track food groups across the day, not just one meal</x:v>
      </x:c>
      <x:c r="D9" s="14" t="str">
        <x:v>Diet quality is a daily pattern</x:v>
      </x:c>
      <x:c r="E9" s="14" t="str">
        <x:v>Nutrition</x:v>
      </x:c>
      <x:c r="F9" s="14" t="str">
        <x:v>READY</x:v>
      </x:c>
    </x:row>
    <x:row r="10">
      <x:c r="A10" s="14" t="str">
        <x:v>R009</x:v>
      </x:c>
      <x:c r="B10" s="14" t="str">
        <x:v>Budget constraint provided</x:v>
      </x:c>
      <x:c r="C10" s="14" t="str">
        <x:v>Rank improvements among foods user already has, then low-cost additions; do not pay-to-rank foods</x:v>
      </x:c>
      <x:c r="D10" s="14" t="str">
        <x:v>Affordability is part of Pikabora's intended use</x:v>
      </x:c>
      <x:c r="E10" s="14" t="str">
        <x:v>Product</x:v>
      </x:c>
      <x:c r="F10" s="14" t="str">
        <x:v>READY</x:v>
      </x:c>
    </x:row>
    <x:row r="11">
      <x:c r="A11" s="14" t="str">
        <x:v>R010</x:v>
      </x:c>
      <x:c r="B11" s="14" t="str">
        <x:v>Recommendation candidate uses unmatched mixed dish</x:v>
      </x:c>
      <x:c r="C11" s="14" t="str">
        <x:v>Calculate ingredient-by-ingredient only when ingredients, preparation, yield/retention basis are known; otherwise use qualitative mode</x:v>
      </x:c>
      <x:c r="D11" s="14" t="str">
        <x:v>Published mixed-dish values apply to defined recipes</x:v>
      </x:c>
      <x:c r="E11" s="14" t="str">
        <x:v>Data QA</x:v>
      </x:c>
      <x:c r="F11" s="1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b482190abc4b4f0c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8" t="str">
        <x:v>PIKABORA v0.5 — MEAL INTELLIGENCE BUILD</x:v>
      </x:c>
      <x:c r="B1" s="68"/>
      <x:c r="C1" s="68"/>
      <x:c r="D1" s="68"/>
      <x:c r="E1" s="68"/>
      <x:c r="F1" s="68"/>
      <x:c r="G1" s="68"/>
      <x:c r="H1" s="68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62" t="str">
        <x:v>Metric</x:v>
      </x:c>
      <x:c r="B3" s="62" t="str">
        <x:v>Value</x:v>
      </x:c>
      <x:c r="C3" s="14"/>
      <x:c r="D3" s="69" t="str">
        <x:v>v0.5 scope</x:v>
      </x:c>
      <x:c r="E3" s="69" t="str"/>
      <x:c r="F3" s="69" t="str"/>
      <x:c r="G3" s="69" t="str"/>
      <x:c r="H3" s="69" t="str"/>
    </x:row>
    <x:row r="4">
      <x:c r="A4" s="14" t="str">
        <x:v>Curated meal patterns</x:v>
      </x:c>
      <x:c r="B4" s="14" t="n">
        <x:v>18</x:v>
      </x:c>
      <x:c r="C4" s="14"/>
      <x:c r="D4" s="14" t="str">
        <x:v>Purpose</x:v>
      </x:c>
      <x:c r="E4" s="14" t="str">
        <x:v>Turn food records into culturally familiar candidate meals</x:v>
      </x:c>
      <x:c r="F4" s="14" t="str"/>
      <x:c r="G4" s="14" t="str"/>
      <x:c r="H4" s="14" t="str"/>
    </x:row>
    <x:row r="5">
      <x:c r="A5" s="14" t="str">
        <x:v>Kenya meal patterns</x:v>
      </x:c>
      <x:c r="B5" s="14" t="n">
        <x:v>6</x:v>
      </x:c>
      <x:c r="C5" s="14"/>
      <x:c r="D5" s="14" t="str">
        <x:v>Calculation policy</x:v>
      </x:c>
      <x:c r="E5" s="14" t="str">
        <x:v>No invented household gram weights; quantitative scoring waits for validated portions</x:v>
      </x:c>
      <x:c r="F5" s="14" t="str"/>
      <x:c r="G5" s="14" t="str"/>
      <x:c r="H5" s="14" t="str"/>
    </x:row>
    <x:row r="6">
      <x:c r="A6" s="14" t="str">
        <x:v>Nigeria meal patterns</x:v>
      </x:c>
      <x:c r="B6" s="14" t="n">
        <x:v>6</x:v>
      </x:c>
      <x:c r="C6" s="14"/>
      <x:c r="D6" s="14" t="str">
        <x:v>Country policy</x:v>
      </x:c>
      <x:c r="E6" s="14" t="str">
        <x:v>Keep Kenya/Nigeria/Senegal source records separate</x:v>
      </x:c>
      <x:c r="F6" s="14" t="str"/>
      <x:c r="G6" s="14" t="str"/>
      <x:c r="H6" s="14" t="str"/>
    </x:row>
    <x:row r="7">
      <x:c r="A7" s="14" t="str">
        <x:v>Senegal/WAFCT meal patterns</x:v>
      </x:c>
      <x:c r="B7" s="14" t="n">
        <x:v>6</x:v>
      </x:c>
      <x:c r="C7" s="14"/>
      <x:c r="D7" s="14" t="str">
        <x:v>Safety policy</x:v>
      </x:c>
      <x:c r="E7" s="14" t="str">
        <x:v>Food guidance does not replace ANC, clinicians or prescribed supplements</x:v>
      </x:c>
      <x:c r="F7" s="14" t="str"/>
      <x:c r="G7" s="14" t="str"/>
      <x:c r="H7" s="14" t="str"/>
    </x:row>
    <x:row r="8">
      <x:c r="A8" s="14" t="str">
        <x:v>Meal-component links</x:v>
      </x:c>
      <x:c r="B8" s="14" t="n">
        <x:v>72</x:v>
      </x:c>
      <x:c r="C8" s="14"/>
      <x:c r="D8" s="14" t="str">
        <x:v>Next build</x:v>
      </x:c>
      <x:c r="E8" s="14" t="str">
        <x:v>v0.6 quantitative meal scoring + validated household measures + full-day gap memory</x:v>
      </x:c>
      <x:c r="F8" s="14" t="str"/>
      <x:c r="G8" s="14" t="str"/>
      <x:c r="H8" s="14" t="str"/>
    </x:row>
    <x:row r="9">
      <x:c r="A9" s="14" t="str">
        <x:v>Recommendation/safety rules</x:v>
      </x:c>
      <x:c r="B9" s="14" t="n">
        <x:v>10</x:v>
      </x:c>
      <x:c r="C9" s="14"/>
      <x:c r="D9" s="14" t="str">
        <x:v>Engine state</x:v>
      </x:c>
      <x:c r="E9" s="14" t="str">
        <x:v>Qualitative recommendation-ready; quantitative adequacy scoring still gated</x:v>
      </x:c>
      <x:c r="F9" s="14" t="str"/>
      <x:c r="G9" s="14" t="str"/>
      <x:c r="H9" s="14" t="str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</x:sheetData>
  <x:mergeCells>
    <x:mergeCell ref="A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80" t="str">
        <x:v>Rule_ID</x:v>
      </x:c>
      <x:c r="B1" s="80" t="str">
        <x:v>Life_Stage</x:v>
      </x:c>
      <x:c r="C1" s="80" t="str">
        <x:v>Gestational_Window</x:v>
      </x:c>
      <x:c r="D1" s="80" t="str">
        <x:v>Rule_Type</x:v>
      </x:c>
      <x:c r="E1" s="80" t="str">
        <x:v>Nutrient_or_Domain</x:v>
      </x:c>
      <x:c r="F1" s="80" t="str">
        <x:v>Engine_Instruction</x:v>
      </x:c>
      <x:c r="G1" s="80" t="str">
        <x:v>Clinical_Boundary</x:v>
      </x:c>
      <x:c r="H1" s="80" t="str">
        <x:v>Source_Basis</x:v>
      </x:c>
      <x:c r="I1" s="80" t="str">
        <x:v>Status</x:v>
      </x:c>
    </x:row>
    <x:row r="2">
      <x:c r="A2" s="14" t="str">
        <x:v>PRG-001</x:v>
      </x:c>
      <x:c r="B2" s="14" t="str">
        <x:v>Pregnancy</x:v>
      </x:c>
      <x:c r="C2" s="14" t="str">
        <x:v>All trimesters</x:v>
      </x:c>
      <x:c r="D2" s="14" t="str">
        <x:v>Diet quality</x:v>
      </x:c>
      <x:c r="E2" s="14" t="str">
        <x:v>Variety</x:v>
      </x:c>
      <x:c r="F2" s="14" t="str">
        <x:v>Prioritise a varied diet with vegetables, fruits, beans/pulses, nuts/seeds, whole grains and appropriate animal-source foods where available.</x:v>
      </x:c>
      <x:c r="G2" s="14" t="str">
        <x:v>Do not infer nutrient adequacy from variety alone.</x:v>
      </x:c>
      <x:c r="H2" s="14" t="str">
        <x:v>WHO ANC healthy-eating guidance</x:v>
      </x:c>
      <x:c r="I2" s="14" t="str">
        <x:v>READY</x:v>
      </x:c>
    </x:row>
    <x:row r="3">
      <x:c r="A3" s="14" t="str">
        <x:v>PRG-002</x:v>
      </x:c>
      <x:c r="B3" s="14" t="str">
        <x:v>Pregnancy</x:v>
      </x:c>
      <x:c r="C3" s="14" t="str">
        <x:v>All trimesters</x:v>
      </x:c>
      <x:c r="D3" s="14" t="str">
        <x:v>Supplement safeguard</x:v>
      </x:c>
      <x:c r="E3" s="14" t="str">
        <x:v>Iron + folic acid</x:v>
      </x:c>
      <x:c r="F3" s="14" t="str">
        <x:v>Never recommend food as a replacement for prescribed or routine antenatal iron/folic-acid supplementation.</x:v>
      </x:c>
      <x:c r="G3" s="14" t="str">
        <x:v>Supplement dose/regimen belongs to ANC/clinical guidance.</x:v>
      </x:c>
      <x:c r="H3" s="14" t="str">
        <x:v>WHO ANC A.2.1</x:v>
      </x:c>
      <x:c r="I3" s="14" t="str">
        <x:v>READY</x:v>
      </x:c>
    </x:row>
    <x:row r="4">
      <x:c r="A4" s="14" t="str">
        <x:v>PRG-003</x:v>
      </x:c>
      <x:c r="B4" s="14" t="str">
        <x:v>Pregnancy</x:v>
      </x:c>
      <x:c r="C4" s="14" t="str">
        <x:v>All trimesters</x:v>
      </x:c>
      <x:c r="D4" s="14" t="str">
        <x:v>Meal pairing</x:v>
      </x:c>
      <x:c r="E4" s="14" t="str">
        <x:v>Iron</x:v>
      </x:c>
      <x:c r="F4" s="14" t="str">
        <x:v>When a plant iron source is selected, prefer a vitamin-C-rich food in the meal/day if available and acceptable.</x:v>
      </x:c>
      <x:c r="G4" s="14" t="str">
        <x:v>Do not claim this treats anaemia.</x:v>
      </x:c>
      <x:c r="H4" s="14" t="str">
        <x:v>Nutrition pairing rule</x:v>
      </x:c>
      <x:c r="I4" s="14" t="str">
        <x:v>READY</x:v>
      </x:c>
    </x:row>
    <x:row r="5">
      <x:c r="A5" s="14" t="str">
        <x:v>PRG-004</x:v>
      </x:c>
      <x:c r="B5" s="14" t="str">
        <x:v>Pregnancy</x:v>
      </x:c>
      <x:c r="C5" s="14" t="str">
        <x:v>All trimesters</x:v>
      </x:c>
      <x:c r="D5" s="14" t="str">
        <x:v>Pattern memory</x:v>
      </x:c>
      <x:c r="E5" s="14" t="str">
        <x:v>Food groups</x:v>
      </x:c>
      <x:c r="F5" s="14" t="str">
        <x:v>Track food groups over the previous 24 hours and use them to diversify the next meal.</x:v>
      </x:c>
      <x:c r="G5" s="14" t="str">
        <x:v>MDD-W threshold is not validated as an individual diagnostic test for pregnant women.</x:v>
      </x:c>
      <x:c r="H5" s="14" t="str">
        <x:v>FAO MDD-W structure adapted as product heuristic</x:v>
      </x:c>
      <x:c r="I5" s="14" t="str">
        <x:v>READY_WITH_CAUTION</x:v>
      </x:c>
    </x:row>
    <x:row r="6">
      <x:c r="A6" s="14" t="str">
        <x:v>PRG-005</x:v>
      </x:c>
      <x:c r="B6" s="14" t="str">
        <x:v>Pregnancy</x:v>
      </x:c>
      <x:c r="C6" s="14" t="str">
        <x:v>All trimesters</x:v>
      </x:c>
      <x:c r="D6" s="14" t="str">
        <x:v>Clinical escalation</x:v>
      </x:c>
      <x:c r="E6" s="14" t="str">
        <x:v>High-risk conditions</x:v>
      </x:c>
      <x:c r="F6" s="14" t="str">
        <x:v>Escalate severe anaemia, gestational diabetes, hypertension, kidney disease, persistent vomiting, allergy, severe illness or clinician-directed diet.</x:v>
      </x:c>
      <x:c r="G6" s="14" t="str">
        <x:v>Do not optimise these as ordinary meals without appropriate clinical context.</x:v>
      </x:c>
      <x:c r="H6" s="14" t="str">
        <x:v>Pikabora safety policy</x:v>
      </x:c>
      <x:c r="I6" s="14" t="str">
        <x:v>READY</x:v>
      </x:c>
    </x:row>
    <x:row r="7">
      <x:c r="A7" s="14" t="str">
        <x:v>PRG-006</x:v>
      </x:c>
      <x:c r="B7" s="14" t="str">
        <x:v>Pregnancy</x:v>
      </x:c>
      <x:c r="C7" s="14" t="str">
        <x:v>All trimesters</x:v>
      </x:c>
      <x:c r="D7" s="14" t="str">
        <x:v>Data confidence</x:v>
      </x:c>
      <x:c r="E7" s="14" t="str">
        <x:v>Portion uncertainty</x:v>
      </x:c>
      <x:c r="F7" s="14" t="str">
        <x:v>If grams/portion conversion is unvalidated, calculate no precise nutrient adequacy percentage; switch to qualitative scoring.</x:v>
      </x:c>
      <x:c r="G7" s="14" t="str">
        <x:v>Avoid false precision.</x:v>
      </x:c>
      <x:c r="H7" s="14" t="str">
        <x:v>Pikabora data QA</x:v>
      </x:c>
      <x:c r="I7" s="14" t="str">
        <x:v>READY</x:v>
      </x:c>
    </x:row>
    <x:row r="8">
      <x:c r="A8" s="14" t="str">
        <x:v>PRG-007</x:v>
      </x:c>
      <x:c r="B8" s="14" t="str">
        <x:v>Pregnancy</x:v>
      </x:c>
      <x:c r="C8" s="14" t="str">
        <x:v>All trimesters</x:v>
      </x:c>
      <x:c r="D8" s="14" t="str">
        <x:v>Data confidence</x:v>
      </x:c>
      <x:c r="E8" s="14" t="str">
        <x:v>Source quality</x:v>
      </x:c>
      <x:c r="F8" s="14" t="str">
        <x:v>Regional, borrowed, calculated or pending-verification food values reduce confidence and cannot independently trigger deficiency claims.</x:v>
      </x:c>
      <x:c r="G8" s="14" t="str">
        <x:v>Retain provenance in every score.</x:v>
      </x:c>
      <x:c r="H8" s="14" t="str">
        <x:v>Pikabora data QA</x:v>
      </x:c>
      <x:c r="I8" s="14" t="str">
        <x:v>READY</x:v>
      </x:c>
    </x:row>
    <x:row r="9">
      <x:c r="A9" s="14" t="str">
        <x:v>PRG-008</x:v>
      </x:c>
      <x:c r="B9" s="14" t="str">
        <x:v>Pregnancy</x:v>
      </x:c>
      <x:c r="C9" s="14" t="str">
        <x:v>All trimesters</x:v>
      </x:c>
      <x:c r="D9" s="14" t="str">
        <x:v>Calcium</x:v>
      </x:c>
      <x:c r="E9" s="14" t="str">
        <x:v>Calcium</x:v>
      </x:c>
      <x:c r="F9" s="14" t="str">
        <x:v>If the recent diet contains few calcium-rich foods, rank available calcium-rich foods higher.</x:v>
      </x:c>
      <x:c r="G9" s="14" t="str">
        <x:v>Do not prescribe calcium supplements from meal history.</x:v>
      </x:c>
      <x:c r="H9" s="14" t="str">
        <x:v>WHO ANC: calcium supplementation is context-specific clinical/public-health guidance</x:v>
      </x:c>
      <x:c r="I9" s="14" t="str">
        <x:v>READY</x:v>
      </x:c>
    </x:row>
    <x:row r="10">
      <x:c r="A10" s="14" t="str">
        <x:v>PRG-009</x:v>
      </x:c>
      <x:c r="B10" s="14" t="str">
        <x:v>Pregnancy</x:v>
      </x:c>
      <x:c r="C10" s="14" t="str">
        <x:v>All trimesters</x:v>
      </x:c>
      <x:c r="D10" s="14" t="str">
        <x:v>Energy/protein</x:v>
      </x:c>
      <x:c r="E10" s="14" t="str">
        <x:v>Energy + protein</x:v>
      </x:c>
      <x:c r="F10" s="14" t="str">
        <x:v>In users identified by appropriate programmes/clinicians as undernourished, surface energy- and protein-dense meal options from available foods.</x:v>
      </x:c>
      <x:c r="G10" s="14" t="str">
        <x:v>Pikabora itself does not diagnose undernutrition.</x:v>
      </x:c>
      <x:c r="H10" s="14" t="str">
        <x:v>WHO ANC A.1.2/A.1.3 context-specific</x:v>
      </x:c>
      <x:c r="I10" s="1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92d85323a9904a4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80" t="str">
        <x:v>Food_Group_ID</x:v>
      </x:c>
      <x:c r="B1" s="80" t="str">
        <x:v>Food_Group</x:v>
      </x:c>
      <x:c r="C1" s="80" t="str">
        <x:v>Examples_for_Pikabora</x:v>
      </x:c>
      <x:c r="D1" s="80" t="str">
        <x:v>24h_Present</x:v>
      </x:c>
      <x:c r="E1" s="80" t="str">
        <x:v>Last_Consumed_Time</x:v>
      </x:c>
      <x:c r="F1" s="80" t="str">
        <x:v>Confidence</x:v>
      </x:c>
      <x:c r="G1" s="80" t="str">
        <x:v>Engine_Use</x:v>
      </x:c>
      <x:c r="H1" s="80" t="str">
        <x:v>Pregnancy_Interpretation</x:v>
      </x:c>
    </x:row>
    <x:row r="2">
      <x:c r="A2" s="14" t="str">
        <x:v>FG01</x:v>
      </x:c>
      <x:c r="B2" s="14" t="str">
        <x:v>Grains, white roots/tubers, plantains</x:v>
      </x:c>
      <x:c r="C2" s="14" t="str">
        <x:v>rice, maize/ugali, millet, yam, cassava/eba, plantain</x:v>
      </x:c>
      <x:c r="D2" s="14" t="str"/>
      <x:c r="E2" s="14" t="str"/>
      <x:c r="F2" s="14" t="str"/>
      <x:c r="G2" s="14" t="str">
        <x:v>Track</x:v>
      </x:c>
      <x:c r="H2" s="14" t="str">
        <x:v>Diversity component</x:v>
      </x:c>
    </x:row>
    <x:row r="3">
      <x:c r="A3" s="14" t="str">
        <x:v>FG02</x:v>
      </x:c>
      <x:c r="B3" s="14" t="str">
        <x:v>Pulses</x:v>
      </x:c>
      <x:c r="C3" s="14" t="str">
        <x:v>beans, cowpeas, lentils, green grams, pigeon peas</x:v>
      </x:c>
      <x:c r="D3" s="14" t="str"/>
      <x:c r="E3" s="14" t="str"/>
      <x:c r="F3" s="14" t="str"/>
      <x:c r="G3" s="14" t="str">
        <x:v>Track</x:v>
      </x:c>
      <x:c r="H3" s="14" t="str">
        <x:v>High-priority affordable protein/diversity group</x:v>
      </x:c>
    </x:row>
    <x:row r="4">
      <x:c r="A4" s="14" t="str">
        <x:v>FG03</x:v>
      </x:c>
      <x:c r="B4" s="14" t="str">
        <x:v>Nuts and seeds</x:v>
      </x:c>
      <x:c r="C4" s="14" t="str">
        <x:v>groundnuts, sesame, other nuts/seeds</x:v>
      </x:c>
      <x:c r="D4" s="14" t="str"/>
      <x:c r="E4" s="14" t="str"/>
      <x:c r="F4" s="14" t="str"/>
      <x:c r="G4" s="14" t="str">
        <x:v>Track</x:v>
      </x:c>
      <x:c r="H4" s="14" t="str">
        <x:v>Useful energy/protein/fat contribution</x:v>
      </x:c>
    </x:row>
    <x:row r="5">
      <x:c r="A5" s="14" t="str">
        <x:v>FG04</x:v>
      </x:c>
      <x:c r="B5" s="14" t="str">
        <x:v>Dairy</x:v>
      </x:c>
      <x:c r="C5" s="14" t="str">
        <x:v>milk, yoghurt, cheese</x:v>
      </x:c>
      <x:c r="D5" s="14" t="str"/>
      <x:c r="E5" s="14" t="str"/>
      <x:c r="F5" s="14" t="str"/>
      <x:c r="G5" s="14" t="str">
        <x:v>Track</x:v>
      </x:c>
      <x:c r="H5" s="14" t="str">
        <x:v>Calcium/B12/protein contribution varies by food</x:v>
      </x:c>
    </x:row>
    <x:row r="6">
      <x:c r="A6" s="14" t="str">
        <x:v>FG05</x:v>
      </x:c>
      <x:c r="B6" s="14" t="str">
        <x:v>Meat, poultry and fish</x:v>
      </x:c>
      <x:c r="C6" s="14" t="str">
        <x:v>beef, liver, chicken, sardine, tilapia, omena</x:v>
      </x:c>
      <x:c r="D6" s="14" t="str"/>
      <x:c r="E6" s="14" t="str"/>
      <x:c r="F6" s="14" t="str"/>
      <x:c r="G6" s="14" t="str">
        <x:v>Track</x:v>
      </x:c>
      <x:c r="H6" s="14" t="str">
        <x:v>Protein and several micronutrients; source-specific</x:v>
      </x:c>
    </x:row>
    <x:row r="7">
      <x:c r="A7" s="14" t="str">
        <x:v>FG06</x:v>
      </x:c>
      <x:c r="B7" s="14" t="str">
        <x:v>Eggs</x:v>
      </x:c>
      <x:c r="C7" s="14" t="str">
        <x:v>chicken egg and local equivalents</x:v>
      </x:c>
      <x:c r="D7" s="14" t="str"/>
      <x:c r="E7" s="14" t="str"/>
      <x:c r="F7" s="14" t="str"/>
      <x:c r="G7" s="14" t="str">
        <x:v>Track</x:v>
      </x:c>
      <x:c r="H7" s="14" t="str">
        <x:v>Protein and micronutrient contribution</x:v>
      </x:c>
    </x:row>
    <x:row r="8">
      <x:c r="A8" s="14" t="str">
        <x:v>FG07</x:v>
      </x:c>
      <x:c r="B8" s="14" t="str">
        <x:v>Dark green leafy vegetables</x:v>
      </x:c>
      <x:c r="C8" s="14" t="str">
        <x:v>sukuma wiki, amaranth, moringa, other leafy greens</x:v>
      </x:c>
      <x:c r="D8" s="14" t="str"/>
      <x:c r="E8" s="14" t="str"/>
      <x:c r="F8" s="14" t="str"/>
      <x:c r="G8" s="14" t="str">
        <x:v>Track</x:v>
      </x:c>
      <x:c r="H8" s="14" t="str">
        <x:v>Folate/provitamin A/mineral contribution varies</x:v>
      </x:c>
    </x:row>
    <x:row r="9">
      <x:c r="A9" s="14" t="str">
        <x:v>FG08</x:v>
      </x:c>
      <x:c r="B9" s="14" t="str">
        <x:v>Other vitamin-A-rich fruits/vegetables</x:v>
      </x:c>
      <x:c r="C9" s="14" t="str">
        <x:v>yellow sweet potato, carrot, ripe mango, papaya</x:v>
      </x:c>
      <x:c r="D9" s="14" t="str"/>
      <x:c r="E9" s="14" t="str"/>
      <x:c r="F9" s="14" t="str"/>
      <x:c r="G9" s="14" t="str">
        <x:v>Track</x:v>
      </x:c>
      <x:c r="H9" s="14" t="str">
        <x:v>Vitamin-A-related contribution varies</x:v>
      </x:c>
    </x:row>
    <x:row r="10">
      <x:c r="A10" s="14" t="str">
        <x:v>FG09</x:v>
      </x:c>
      <x:c r="B10" s="14" t="str">
        <x:v>Other vegetables</x:v>
      </x:c>
      <x:c r="C10" s="14" t="str">
        <x:v>tomato, cabbage, eggplant and others</x:v>
      </x:c>
      <x:c r="D10" s="14" t="str"/>
      <x:c r="E10" s="14" t="str"/>
      <x:c r="F10" s="14" t="str"/>
      <x:c r="G10" s="14" t="str">
        <x:v>Track</x:v>
      </x:c>
      <x:c r="H10" s="14" t="str">
        <x:v>Diet diversity</x:v>
      </x:c>
    </x:row>
    <x:row r="11">
      <x:c r="A11" s="14" t="str">
        <x:v>FG10</x:v>
      </x:c>
      <x:c r="B11" s="14" t="str">
        <x:v>Other fruits</x:v>
      </x:c>
      <x:c r="C11" s="14" t="str">
        <x:v>orange, guava, avocado and others</x:v>
      </x:c>
      <x:c r="D11" s="14" t="str"/>
      <x:c r="E11" s="14" t="str"/>
      <x:c r="F11" s="14" t="str"/>
      <x:c r="G11" s="14" t="str">
        <x:v>Track</x:v>
      </x:c>
      <x:c r="H11" s="14" t="str">
        <x:v>Diet diversity; some useful vitamin C sources</x:v>
      </x:c>
    </x:row>
  </x:sheetData>
  <x:pageMargins left="0.7" right="0.7" top="0.75" bottom="0.75" header="0.3" footer="0.3"/>
  <x:tableParts count="1">
    <x:tablePart xmlns:r="http://schemas.openxmlformats.org/officeDocument/2006/relationships" r:id="R0ab1171c72314841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80" t="str">
        <x:v>Score_Component</x:v>
      </x:c>
      <x:c r="B1" s="80" t="str">
        <x:v>Max_Points</x:v>
      </x:c>
      <x:c r="C1" s="80" t="str">
        <x:v>Condition</x:v>
      </x:c>
      <x:c r="D1" s="80" t="str">
        <x:v>Points</x:v>
      </x:c>
      <x:c r="E1" s="80" t="str">
        <x:v>Hard_Gate</x:v>
      </x:c>
      <x:c r="F1" s="80" t="str">
        <x:v>Explanation</x:v>
      </x:c>
    </x:row>
    <x:row r="2">
      <x:c r="A2" s="14" t="str">
        <x:v>Availability fit</x:v>
      </x:c>
      <x:c r="B2" s="14" t="n">
        <x:v>25</x:v>
      </x:c>
      <x:c r="C2" s="14" t="str">
        <x:v>All required meal components are reported available</x:v>
      </x:c>
      <x:c r="D2" s="14" t="n">
        <x:v>25</x:v>
      </x:c>
      <x:c r="E2" s="14" t="str">
        <x:v>YES</x:v>
      </x:c>
      <x:c r="F2" s="14" t="str">
        <x:v>Do not recommend a meal the user cannot make unless clearly labelled as an addition/substitution.</x:v>
      </x:c>
    </x:row>
    <x:row r="3">
      <x:c r="A3" s="14" t="str">
        <x:v>Country/cultural fit</x:v>
      </x:c>
      <x:c r="B3" s="14" t="n">
        <x:v>15</x:v>
      </x:c>
      <x:c r="C3" s="14" t="str">
        <x:v>Meal belongs to user's active country pack and familiar meal library</x:v>
      </x:c>
      <x:c r="D3" s="14" t="n">
        <x:v>15</x:v>
      </x:c>
      <x:c r="E3" s="14" t="str">
        <x:v>YES</x:v>
      </x:c>
      <x:c r="F3" s="14" t="str">
        <x:v>Prefer country-specific meal patterns.</x:v>
      </x:c>
    </x:row>
    <x:row r="4">
      <x:c r="A4" s="14" t="str">
        <x:v>Food-group diversity</x:v>
      </x:c>
      <x:c r="B4" s="14" t="n">
        <x:v>20</x:v>
      </x:c>
      <x:c r="C4" s="14" t="str">
        <x:v>Candidate adds food groups missing from recent 24h pattern</x:v>
      </x:c>
      <x:c r="D4" s="14" t="n">
        <x:v>20</x:v>
      </x:c>
      <x:c r="E4" s="14" t="str">
        <x:v>NO</x:v>
      </x:c>
      <x:c r="F4" s="14" t="str">
        <x:v>Use food-group memory as a ranking feature, not a diagnosis.</x:v>
      </x:c>
    </x:row>
    <x:row r="5">
      <x:c r="A5" s="14" t="str">
        <x:v>Protein contribution</x:v>
      </x:c>
      <x:c r="B5" s="14" t="n">
        <x:v>10</x:v>
      </x:c>
      <x:c r="C5" s="14" t="str">
        <x:v>Contains pulse, egg, dairy, meat/fish or other meaningful protein component</x:v>
      </x:c>
      <x:c r="D5" s="14" t="n">
        <x:v>10</x:v>
      </x:c>
      <x:c r="E5" s="14" t="str">
        <x:v>NO</x:v>
      </x:c>
      <x:c r="F5" s="14" t="str">
        <x:v>Qualitative until validated portions permit calculation.</x:v>
      </x:c>
    </x:row>
    <x:row r="6">
      <x:c r="A6" s="14" t="str">
        <x:v>Iron-oriented composition</x:v>
      </x:c>
      <x:c r="B6" s="14" t="n">
        <x:v>10</x:v>
      </x:c>
      <x:c r="C6" s="14" t="str">
        <x:v>Contains source-verified iron-rich food or pulse/leafy combination</x:v>
      </x:c>
      <x:c r="D6" s="14" t="n">
        <x:v>10</x:v>
      </x:c>
      <x:c r="E6" s="14" t="str">
        <x:v>NO</x:v>
      </x:c>
      <x:c r="F6" s="14" t="str">
        <x:v>Do not infer anaemia status.</x:v>
      </x:c>
    </x:row>
    <x:row r="7">
      <x:c r="A7" s="14" t="str">
        <x:v>Vitamin-C pairing</x:v>
      </x:c>
      <x:c r="B7" s="14" t="n">
        <x:v>5</x:v>
      </x:c>
      <x:c r="C7" s="14" t="str">
        <x:v>Vitamin-C-rich food accompanies a plant iron-oriented meal</x:v>
      </x:c>
      <x:c r="D7" s="14" t="n">
        <x:v>5</x:v>
      </x:c>
      <x:c r="E7" s="14" t="str">
        <x:v>NO</x:v>
      </x:c>
      <x:c r="F7" s="14" t="str">
        <x:v>Food-pairing bonus.</x:v>
      </x:c>
    </x:row>
    <x:row r="8">
      <x:c r="A8" s="14" t="str">
        <x:v>Calcium-oriented composition</x:v>
      </x:c>
      <x:c r="B8" s="14" t="n">
        <x:v>5</x:v>
      </x:c>
      <x:c r="C8" s="14" t="str">
        <x:v>Contains source-verified calcium-rich food when recent pattern suggests low variety in that group</x:v>
      </x:c>
      <x:c r="D8" s="14" t="n">
        <x:v>5</x:v>
      </x:c>
      <x:c r="E8" s="14" t="str">
        <x:v>NO</x:v>
      </x:c>
      <x:c r="F8" s="14" t="str">
        <x:v>Food ranking only, not supplement advice.</x:v>
      </x:c>
    </x:row>
    <x:row r="9">
      <x:c r="A9" s="14" t="str">
        <x:v>Budget fit</x:v>
      </x:c>
      <x:c r="B9" s="14" t="n">
        <x:v>5</x:v>
      </x:c>
      <x:c r="C9" s="14" t="str">
        <x:v>Within stated budget / uses foods already at home</x:v>
      </x:c>
      <x:c r="D9" s="14" t="n">
        <x:v>5</x:v>
      </x:c>
      <x:c r="E9" s="14" t="str">
        <x:v>NO</x:v>
      </x:c>
      <x:c r="F9" s="14" t="str">
        <x:v>Budget estimate must be locally validated before numeric price promises.</x:v>
      </x:c>
    </x:row>
    <x:row r="10">
      <x:c r="A10" s="14" t="str">
        <x:v>Preparation feasibility</x:v>
      </x:c>
      <x:c r="B10" s="14" t="n">
        <x:v>5</x:v>
      </x:c>
      <x:c r="C10" s="14" t="str">
        <x:v>Preparation is acceptable and feasible for user</x:v>
      </x:c>
      <x:c r="D10" s="14" t="n">
        <x:v>5</x:v>
      </x:c>
      <x:c r="E10" s="14" t="str">
        <x:v>NO</x:v>
      </x:c>
      <x:c r="F10" s="14" t="str">
        <x:v>Learn from Did-you-prepare-it feedback.</x:v>
      </x:c>
    </x:row>
    <x:row r="11">
      <x:c r="A11" s="14" t="str">
        <x:v>Data-confidence penalty</x:v>
      </x:c>
      <x:c r="B11" s="14" t="n">
        <x:v>0</x:v>
      </x:c>
      <x:c r="C11" s="14" t="str">
        <x:v>Unverified portion/source/recipe</x:v>
      </x:c>
      <x:c r="D11" s="14" t="n">
        <x:v>-20</x:v>
      </x:c>
      <x:c r="E11" s="14" t="str">
        <x:v>YES</x:v>
      </x:c>
      <x:c r="F11" s="14" t="str">
        <x:v>Quantitative adequacy output blocked; qualitative recommendation may remain.</x:v>
      </x:c>
    </x:row>
  </x:sheetData>
  <x:pageMargins left="0.7" right="0.7" top="0.75" bottom="0.75" header="0.3" footer="0.3"/>
  <x:tableParts count="1">
    <x:tablePart xmlns:r="http://schemas.openxmlformats.org/officeDocument/2006/relationships" r:id="R9832118e261a4aea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80" t="str">
        <x:v>Rank_Band</x:v>
      </x:c>
      <x:c r="B1" s="80" t="str">
        <x:v>Score_Range</x:v>
      </x:c>
      <x:c r="C1" s="80" t="str">
        <x:v>Output_Behaviour</x:v>
      </x:c>
      <x:c r="D1" s="80" t="str">
        <x:v>Allowed_Language</x:v>
      </x:c>
      <x:c r="E1" s="80" t="str">
        <x:v>Blocked_Language</x:v>
      </x:c>
    </x:row>
    <x:row r="2">
      <x:c r="A2" s="14" t="str">
        <x:v>A</x:v>
      </x:c>
      <x:c r="B2" s="14" t="str">
        <x:v>80–100</x:v>
      </x:c>
      <x:c r="C2" s="14" t="str">
        <x:v>Offer as a top candidate if safety gates pass</x:v>
      </x:c>
      <x:c r="D2" s="14" t="str">
        <x:v>Strong fit for what you have; this meal adds useful food-group variety</x:v>
      </x:c>
      <x:c r="E2" s="14" t="str">
        <x:v>This meal meets all your pregnancy nutrient requirements</x:v>
      </x:c>
    </x:row>
    <x:row r="3">
      <x:c r="A3" s="14" t="str">
        <x:v>B</x:v>
      </x:c>
      <x:c r="B3" s="14" t="str">
        <x:v>60–79</x:v>
      </x:c>
      <x:c r="C3" s="14" t="str">
        <x:v>Offer as an alternative</x:v>
      </x:c>
      <x:c r="D3" s="14" t="str">
        <x:v>Good practical option; consider the suggested improvement</x:v>
      </x:c>
      <x:c r="E3" s="14" t="str">
        <x:v>This prevents deficiency</x:v>
      </x:c>
    </x:row>
    <x:row r="4">
      <x:c r="A4" s="14" t="str">
        <x:v>C</x:v>
      </x:c>
      <x:c r="B4" s="14" t="str">
        <x:v>40–59</x:v>
      </x:c>
      <x:c r="C4" s="14" t="str">
        <x:v>Offer only with improvement action</x:v>
      </x:c>
      <x:c r="D4" s="14" t="str">
        <x:v>This can work better if you add/swap…</x:v>
      </x:c>
      <x:c r="E4" s="14" t="str">
        <x:v>Nutritionally complete</x:v>
      </x:c>
    </x:row>
    <x:row r="5">
      <x:c r="A5" s="14" t="str">
        <x:v>D</x:v>
      </x:c>
      <x:c r="B5" s="14" t="str">
        <x:v>&lt;40</x:v>
      </x:c>
      <x:c r="C5" s="14" t="str">
        <x:v>Do not rank as preferred; explain missing components</x:v>
      </x:c>
      <x:c r="D5" s="14" t="str">
        <x:v>You can make this, but it is less diverse than the other options</x:v>
      </x:c>
      <x:c r="E5" s="14" t="str">
        <x:v>Bad/unhealthy meal</x:v>
      </x:c>
    </x:row>
    <x:row r="6">
      <x:c r="A6" s="14" t="str">
        <x:v>Q</x:v>
      </x:c>
      <x:c r="B6" s="14" t="str">
        <x:v>Quantitative gated</x:v>
      </x:c>
      <x:c r="C6" s="14" t="str">
        <x:v>Use qualitative mode when portion/source confidence is insufficient</x:v>
      </x:c>
      <x:c r="D6" s="14" t="str">
        <x:v>Likely strength / possible gap / simple improvement</x:v>
      </x:c>
      <x:c r="E6" s="14" t="str">
        <x:v>Exact % of pregnancy needs unless inputs are validated</x:v>
      </x:c>
    </x:row>
  </x:sheetData>
  <x:pageMargins left="0.7" right="0.7" top="0.75" bottom="0.75" header="0.3" footer="0.3"/>
  <x:tableParts count="1">
    <x:tablePart xmlns:r="http://schemas.openxmlformats.org/officeDocument/2006/relationships" r:id="Rf946290237984e30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85" t="str">
        <x:v>PIKABORA v0.6 — PREGNANCY RULES + DAILY GAP MEMORY + SCORING</x:v>
      </x:c>
      <x:c r="B1" s="85"/>
      <x:c r="C1" s="85"/>
      <x:c r="D1" s="85"/>
      <x:c r="E1" s="85"/>
      <x:c r="F1" s="85"/>
      <x:c r="G1" s="85"/>
      <x:c r="H1" s="85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80" t="str">
        <x:v>Build metric</x:v>
      </x:c>
      <x:c r="B3" s="80" t="str">
        <x:v>Value</x:v>
      </x:c>
      <x:c r="C3" s="14"/>
      <x:c r="D3" s="86" t="str">
        <x:v>Engine principle</x:v>
      </x:c>
      <x:c r="E3" s="86" t="str"/>
      <x:c r="F3" s="86" t="str"/>
      <x:c r="G3" s="86" t="str"/>
      <x:c r="H3" s="86" t="str"/>
    </x:row>
    <x:row r="4">
      <x:c r="A4" s="14" t="str">
        <x:v>Pregnancy-stage / safety rules</x:v>
      </x:c>
      <x:c r="B4" s="14" t="n">
        <x:v>9</x:v>
      </x:c>
      <x:c r="C4" s="14"/>
      <x:c r="D4" s="14" t="str">
        <x:v>1</x:v>
      </x:c>
      <x:c r="E4" s="14" t="str">
        <x:v>Remember what food groups were eaten recently; diversify the next practical meal</x:v>
      </x:c>
      <x:c r="F4" s="14" t="str"/>
      <x:c r="G4" s="14" t="str"/>
      <x:c r="H4" s="14" t="str"/>
    </x:row>
    <x:row r="5">
      <x:c r="A5" s="14" t="str">
        <x:v>24h food groups tracked</x:v>
      </x:c>
      <x:c r="B5" s="14" t="n">
        <x:v>10</x:v>
      </x:c>
      <x:c r="C5" s="14"/>
      <x:c r="D5" s="14" t="str">
        <x:v>2</x:v>
      </x:c>
      <x:c r="E5" s="14" t="str">
        <x:v>Score availability, cultural fit, diversity, protein, food pairing, budget and feasibility</x:v>
      </x:c>
      <x:c r="F5" s="14" t="str"/>
      <x:c r="G5" s="14" t="str"/>
      <x:c r="H5" s="14" t="str"/>
    </x:row>
    <x:row r="6">
      <x:c r="A6" s="14" t="str">
        <x:v>Candidate score components</x:v>
      </x:c>
      <x:c r="B6" s="14" t="n">
        <x:v>10</x:v>
      </x:c>
      <x:c r="C6" s="14"/>
      <x:c r="D6" s="14" t="str">
        <x:v>3</x:v>
      </x:c>
      <x:c r="E6" s="14" t="str">
        <x:v>Keep supplement and clinical decisions outside ordinary food optimisation</x:v>
      </x:c>
      <x:c r="F6" s="14" t="str"/>
      <x:c r="G6" s="14" t="str"/>
      <x:c r="H6" s="14" t="str"/>
    </x:row>
    <x:row r="7">
      <x:c r="A7" s="14" t="str">
        <x:v>Ranking bands</x:v>
      </x:c>
      <x:c r="B7" s="14" t="n">
        <x:v>5</x:v>
      </x:c>
      <x:c r="C7" s="14"/>
      <x:c r="D7" s="14" t="str">
        <x:v>4</x:v>
      </x:c>
      <x:c r="E7" s="14" t="str">
        <x:v>Never convert an unvalidated bowl/cup/wrap into grams just to produce a number</x:v>
      </x:c>
      <x:c r="F7" s="14" t="str"/>
      <x:c r="G7" s="14" t="str"/>
      <x:c r="H7" s="14" t="str"/>
    </x:row>
    <x:row r="8">
      <x:c r="A8" s="14" t="str">
        <x:v>Quantitative adequacy status</x:v>
      </x:c>
      <x:c r="B8" s="14" t="str">
        <x:v>GATED</x:v>
      </x:c>
      <x:c r="C8" s="14"/>
      <x:c r="D8" s="14" t="str">
        <x:v>5</x:v>
      </x:c>
      <x:c r="E8" s="14" t="str">
        <x:v>Retain source confidence and country provenance through ranking</x:v>
      </x:c>
      <x:c r="F8" s="14" t="str"/>
      <x:c r="G8" s="14" t="str"/>
      <x:c r="H8" s="14" t="str"/>
    </x:row>
    <x:row r="9">
      <x:c r="A9" s="14" t="str">
        <x:v>Qualitative ranking status</x:v>
      </x:c>
      <x:c r="B9" s="14" t="str">
        <x:v>READY</x:v>
      </x:c>
      <x:c r="C9" s="14"/>
      <x:c r="D9" s="14" t="str">
        <x:v>6</x:v>
      </x:c>
      <x:c r="E9" s="14" t="str">
        <x:v>MDD-W food groups are used as a diversity structure, not as an individual pregnancy diagnosis</x:v>
      </x:c>
      <x:c r="F9" s="14" t="str"/>
      <x:c r="G9" s="14" t="str"/>
      <x:c r="H9" s="14" t="str"/>
    </x:row>
    <x:row r="10">
      <x:c r="A10" s="14" t="str">
        <x:v>Next milestone</x:v>
      </x:c>
      <x:c r="B10" s="14" t="str">
        <x:v>Validated household portions + nutrient totals + conversation-state API</x:v>
      </x:c>
      <x:c r="C10" s="14"/>
      <x:c r="D10" s="14" t="str">
        <x:v>7</x:v>
      </x:c>
      <x:c r="E10" s="14" t="str">
        <x:v>v0.7 can activate numeric nutrient totals after portion validation</x:v>
      </x:c>
      <x:c r="F10" s="14" t="str"/>
      <x:c r="G10" s="14" t="str"/>
      <x:c r="H10" s="14" t="str"/>
    </x:row>
  </x:sheetData>
  <x:mergeCells>
    <x:mergeCell ref="A1:H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94" t="str">
        <x:v>Portion_ID</x:v>
      </x:c>
      <x:c r="B1" s="94" t="str">
        <x:v>Country</x:v>
      </x:c>
      <x:c r="C1" s="94" t="str">
        <x:v>Food_or_Dish</x:v>
      </x:c>
      <x:c r="D1" s="94" t="str">
        <x:v>Household_Term</x:v>
      </x:c>
      <x:c r="E1" s="94" t="str">
        <x:v>Source_Gram_Value</x:v>
      </x:c>
      <x:c r="F1" s="94" t="str">
        <x:v>Source_Type</x:v>
      </x:c>
      <x:c r="G1" s="94" t="str">
        <x:v>Pilot_Gram_Value</x:v>
      </x:c>
      <x:c r="H1" s="94" t="str">
        <x:v>Replicates</x:v>
      </x:c>
      <x:c r="I1" s="94" t="str">
        <x:v>Mean_Validated_g</x:v>
      </x:c>
      <x:c r="J1" s="94" t="str">
        <x:v>Validation_Status</x:v>
      </x:c>
      <x:c r="K1" s="94" t="str">
        <x:v>Engine_Mode</x:v>
      </x:c>
      <x:c r="L1" s="94" t="str">
        <x:v>Notes</x:v>
      </x:c>
    </x:row>
    <x:row r="2">
      <x:c r="A2" s="14" t="str">
        <x:v>PV-KE-001</x:v>
      </x:c>
      <x:c r="B2" s="14" t="str">
        <x:v>Kenya</x:v>
      </x:c>
      <x:c r="C2" s="14" t="str">
        <x:v>Ugali</x:v>
      </x:c>
      <x:c r="D2" s="14" t="str">
        <x:v>piece/serving</x:v>
      </x:c>
      <x:c r="E2" s="14"/>
      <x:c r="F2" s="14" t="str">
        <x:v>KFCT recipe data exists; household serving not yet mapped</x:v>
      </x:c>
      <x:c r="G2" s="95"/>
      <x:c r="H2" s="95"/>
      <x:c r="I2" s="14" t="str">
        <x:f>IF(AND(G2&gt;0,H2&gt;=3),G2,"")</x:f>
      </x:c>
      <x:c r="J2" s="14" t="str">
        <x:f>IF(I2&gt;0,"VALIDATED","PENDING_FIELD_VALIDATION")</x:f>
        <x:v>PENDING_FIELD_VALIDATION</x:v>
      </x:c>
      <x:c r="K2" s="14" t="str">
        <x:f>IF(I2&gt;0,"QUANTITATIVE","QUALITATIVE")</x:f>
        <x:v>QUALITATIVE</x:v>
      </x:c>
      <x:c r="L2" s="14" t="str">
        <x:v>KFCT mixed-dish development measured ingredient grams/final dish weights, but user-serving conversion still needs field validation.</x:v>
      </x:c>
    </x:row>
    <x:row r="3">
      <x:c r="A3" s="14" t="str">
        <x:v>PV-KE-002</x:v>
      </x:c>
      <x:c r="B3" s="14" t="str">
        <x:v>Kenya</x:v>
      </x:c>
      <x:c r="C3" s="14" t="str">
        <x:v>Sukuma wiki</x:v>
      </x:c>
      <x:c r="D3" s="14" t="str">
        <x:v>serving spoon</x:v>
      </x:c>
      <x:c r="E3" s="14"/>
      <x:c r="F3" s="14" t="str">
        <x:v>KFCT mixed dish</x:v>
      </x:c>
      <x:c r="G3" s="95"/>
      <x:c r="H3" s="95"/>
      <x:c r="I3" s="14" t="str">
        <x:f>IF(AND(G3&gt;0,H3&gt;=3),G3,"")</x:f>
      </x:c>
      <x:c r="J3" s="14" t="str">
        <x:f>IF(I3&gt;0,"VALIDATED","PENDING_FIELD_VALIDATION")</x:f>
        <x:v>PENDING_FIELD_VALIDATION</x:v>
      </x:c>
      <x:c r="K3" s="14" t="str">
        <x:f>IF(I3&gt;0,"QUANTITATIVE","QUALITATIVE")</x:f>
        <x:v>QUALITATIVE</x:v>
      </x:c>
      <x:c r="L3" s="14" t="str">
        <x:v>Validate common serving-spoon sizes in pilot.</x:v>
      </x:c>
    </x:row>
    <x:row r="4">
      <x:c r="A4" s="14" t="str">
        <x:v>PV-KE-003</x:v>
      </x:c>
      <x:c r="B4" s="14" t="str">
        <x:v>Kenya</x:v>
      </x:c>
      <x:c r="C4" s="14" t="str">
        <x:v>Githeri</x:v>
      </x:c>
      <x:c r="D4" s="14" t="str">
        <x:v>bowl/cup</x:v>
      </x:c>
      <x:c r="E4" s="14"/>
      <x:c r="F4" s="14" t="str">
        <x:v>KFCT mixed dish</x:v>
      </x:c>
      <x:c r="G4" s="95"/>
      <x:c r="H4" s="95"/>
      <x:c r="I4" s="14" t="str">
        <x:f>IF(AND(G4&gt;0,H4&gt;=3),G4,"")</x:f>
      </x:c>
      <x:c r="J4" s="14" t="str">
        <x:f>IF(I4&gt;0,"VALIDATED","PENDING_FIELD_VALIDATION")</x:f>
        <x:v>PENDING_FIELD_VALIDATION</x:v>
      </x:c>
      <x:c r="K4" s="14" t="str">
        <x:f>IF(I4&gt;0,"QUANTITATIVE","QUALITATIVE")</x:f>
        <x:v>QUALITATIVE</x:v>
      </x:c>
      <x:c r="L4" s="14" t="str">
        <x:v>Do not equate bowl with grams until validated.</x:v>
      </x:c>
    </x:row>
    <x:row r="5">
      <x:c r="A5" s="14" t="str">
        <x:v>PV-KE-004</x:v>
      </x:c>
      <x:c r="B5" s="14" t="str">
        <x:v>Kenya</x:v>
      </x:c>
      <x:c r="C5" s="14" t="str">
        <x:v>Finger millet porridge</x:v>
      </x:c>
      <x:c r="D5" s="14" t="str">
        <x:v>cup/mug</x:v>
      </x:c>
      <x:c r="E5" s="14"/>
      <x:c r="F5" s="14" t="str">
        <x:v>KFCT mixed dish</x:v>
      </x:c>
      <x:c r="G5" s="95"/>
      <x:c r="H5" s="95"/>
      <x:c r="I5" s="14" t="str">
        <x:f>IF(AND(G5&gt;0,H5&gt;=3),G5,"")</x:f>
      </x:c>
      <x:c r="J5" s="14" t="str">
        <x:f>IF(I5&gt;0,"VALIDATED","PENDING_FIELD_VALIDATION")</x:f>
        <x:v>PENDING_FIELD_VALIDATION</x:v>
      </x:c>
      <x:c r="K5" s="14" t="str">
        <x:f>IF(I5&gt;0,"QUANTITATIVE","QUALITATIVE")</x:f>
        <x:v>QUALITATIVE</x:v>
      </x:c>
      <x:c r="L5" s="14" t="str">
        <x:v>Record vessel volume and served mass.</x:v>
      </x:c>
    </x:row>
    <x:row r="6">
      <x:c r="A6" s="14" t="str">
        <x:v>PV-NG-001</x:v>
      </x:c>
      <x:c r="B6" s="14" t="str">
        <x:v>Nigeria</x:v>
      </x:c>
      <x:c r="C6" s="14" t="str">
        <x:v>Eba</x:v>
      </x:c>
      <x:c r="D6" s="14" t="str">
        <x:v>wrap/serving</x:v>
      </x:c>
      <x:c r="E6" s="14"/>
      <x:c r="F6" s="14" t="str">
        <x:v>NFCT food value; household measure absent</x:v>
      </x:c>
      <x:c r="G6" s="95"/>
      <x:c r="H6" s="95"/>
      <x:c r="I6" s="14" t="str">
        <x:f>IF(AND(G6&gt;0,H6&gt;=3),G6,"")</x:f>
      </x:c>
      <x:c r="J6" s="14" t="str">
        <x:f>IF(I6&gt;0,"VALIDATED","PENDING_FIELD_VALIDATION")</x:f>
        <x:v>PENDING_FIELD_VALIDATION</x:v>
      </x:c>
      <x:c r="K6" s="14" t="str">
        <x:f>IF(I6&gt;0,"QUANTITATIVE","QUALITATIVE")</x:f>
        <x:v>QUALITATIVE</x:v>
      </x:c>
      <x:c r="L6" s="14" t="str">
        <x:v>Serving size varies by household.</x:v>
      </x:c>
    </x:row>
    <x:row r="7">
      <x:c r="A7" s="14" t="str">
        <x:v>PV-NG-002</x:v>
      </x:c>
      <x:c r="B7" s="14" t="str">
        <x:v>Nigeria</x:v>
      </x:c>
      <x:c r="C7" s="14" t="str">
        <x:v>Moi-moi</x:v>
      </x:c>
      <x:c r="D7" s="14" t="str">
        <x:v>wrap/cup</x:v>
      </x:c>
      <x:c r="E7" s="14"/>
      <x:c r="F7" s="14" t="str">
        <x:v>NFCT prepared food</x:v>
      </x:c>
      <x:c r="G7" s="95"/>
      <x:c r="H7" s="95"/>
      <x:c r="I7" s="14" t="str">
        <x:f>IF(AND(G7&gt;0,H7&gt;=3),G7,"")</x:f>
      </x:c>
      <x:c r="J7" s="14" t="str">
        <x:f>IF(I7&gt;0,"VALIDATED","PENDING_FIELD_VALIDATION")</x:f>
        <x:v>PENDING_FIELD_VALIDATION</x:v>
      </x:c>
      <x:c r="K7" s="14" t="str">
        <x:f>IF(I7&gt;0,"QUANTITATIVE","QUALITATIVE")</x:f>
        <x:v>QUALITATIVE</x:v>
      </x:c>
      <x:c r="L7" s="14" t="str">
        <x:v>Capture package/container size and edible mass.</x:v>
      </x:c>
    </x:row>
    <x:row r="8">
      <x:c r="A8" s="14" t="str">
        <x:v>PV-NG-003</x:v>
      </x:c>
      <x:c r="B8" s="14" t="str">
        <x:v>Nigeria</x:v>
      </x:c>
      <x:c r="C8" s="14" t="str">
        <x:v>Cooked beans</x:v>
      </x:c>
      <x:c r="D8" s="14" t="str">
        <x:v>cup/serving spoon</x:v>
      </x:c>
      <x:c r="E8" s="14"/>
      <x:c r="F8" s="14" t="str">
        <x:v>NFCT food value</x:v>
      </x:c>
      <x:c r="G8" s="95"/>
      <x:c r="H8" s="95"/>
      <x:c r="I8" s="14" t="str">
        <x:f>IF(AND(G8&gt;0,H8&gt;=3),G8,"")</x:f>
      </x:c>
      <x:c r="J8" s="14" t="str">
        <x:f>IF(I8&gt;0,"VALIDATED","PENDING_FIELD_VALIDATION")</x:f>
        <x:v>PENDING_FIELD_VALIDATION</x:v>
      </x:c>
      <x:c r="K8" s="14" t="str">
        <x:f>IF(I8&gt;0,"QUANTITATIVE","QUALITATIVE")</x:f>
        <x:v>QUALITATIVE</x:v>
      </x:c>
      <x:c r="L8" s="14" t="str">
        <x:v>Validate common cup/spoon mass.</x:v>
      </x:c>
    </x:row>
    <x:row r="9">
      <x:c r="A9" s="14" t="str">
        <x:v>PV-SN-001</x:v>
      </x:c>
      <x:c r="B9" s="14" t="str">
        <x:v>Senegal</x:v>
      </x:c>
      <x:c r="C9" s="14" t="str">
        <x:v>Cooked rice</x:v>
      </x:c>
      <x:c r="D9" s="14" t="str">
        <x:v>bowl/serving spoon</x:v>
      </x:c>
      <x:c r="E9" s="14"/>
      <x:c r="F9" s="14" t="str">
        <x:v>WAFCT regional</x:v>
      </x:c>
      <x:c r="G9" s="95"/>
      <x:c r="H9" s="95"/>
      <x:c r="I9" s="14" t="str">
        <x:f>IF(AND(G9&gt;0,H9&gt;=3),G9,"")</x:f>
      </x:c>
      <x:c r="J9" s="14" t="str">
        <x:f>IF(I9&gt;0,"VALIDATED","PENDING_FIELD_VALIDATION")</x:f>
        <x:v>PENDING_FIELD_VALIDATION</x:v>
      </x:c>
      <x:c r="K9" s="14" t="str">
        <x:f>IF(I9&gt;0,"QUANTITATIVE","QUALITATIVE")</x:f>
        <x:v>QUALITATIVE</x:v>
      </x:c>
      <x:c r="L9" s="14" t="str">
        <x:v>Senegal pilot validation required.</x:v>
      </x:c>
    </x:row>
    <x:row r="10">
      <x:c r="A10" s="14" t="str">
        <x:v>PV-SN-002</x:v>
      </x:c>
      <x:c r="B10" s="14" t="str">
        <x:v>Senegal</x:v>
      </x:c>
      <x:c r="C10" s="14" t="str">
        <x:v>Millet couscous/porridge</x:v>
      </x:c>
      <x:c r="D10" s="14" t="str">
        <x:v>bowl</x:v>
      </x:c>
      <x:c r="E10" s="14"/>
      <x:c r="F10" s="14" t="str">
        <x:v>WAFCT regional</x:v>
      </x:c>
      <x:c r="G10" s="95"/>
      <x:c r="H10" s="95"/>
      <x:c r="I10" s="14" t="str">
        <x:f>IF(AND(G10&gt;0,H10&gt;=3),G10,"")</x:f>
      </x:c>
      <x:c r="J10" s="14" t="str">
        <x:f>IF(I10&gt;0,"VALIDATED","PENDING_FIELD_VALIDATION")</x:f>
        <x:v>PENDING_FIELD_VALIDATION</x:v>
      </x:c>
      <x:c r="K10" s="14" t="str">
        <x:f>IF(I10&gt;0,"QUANTITATIVE","QUALITATIVE")</x:f>
        <x:v>QUALITATIVE</x:v>
      </x:c>
      <x:c r="L10" s="14" t="str">
        <x:v>Keep regional provenance.</x:v>
      </x:c>
    </x:row>
    <x:row r="11">
      <x:c r="A11" s="14" t="str">
        <x:v>PV-SN-003</x:v>
      </x:c>
      <x:c r="B11" s="14" t="str">
        <x:v>Senegal</x:v>
      </x:c>
      <x:c r="C11" s="14" t="str">
        <x:v>Fish</x:v>
      </x:c>
      <x:c r="D11" s="14" t="str">
        <x:v>piece</x:v>
      </x:c>
      <x:c r="E11" s="14"/>
      <x:c r="F11" s="14" t="str">
        <x:v>WAFCT regional</x:v>
      </x:c>
      <x:c r="G11" s="95"/>
      <x:c r="H11" s="95"/>
      <x:c r="I11" s="14" t="str">
        <x:f>IF(AND(G11&gt;0,H11&gt;=3),G11,"")</x:f>
      </x:c>
      <x:c r="J11" s="14" t="str">
        <x:f>IF(I11&gt;0,"VALIDATED","PENDING_FIELD_VALIDATION")</x:f>
        <x:v>PENDING_FIELD_VALIDATION</x:v>
      </x:c>
      <x:c r="K11" s="14" t="str">
        <x:f>IF(I11&gt;0,"QUANTITATIVE","QUALITATIVE")</x:f>
        <x:v>QUALITATIVE</x:v>
      </x:c>
      <x:c r="L11" s="14" t="str">
        <x:v>Species, size and edible portion required.</x:v>
      </x:c>
    </x:row>
  </x:sheetData>
  <x:dataValidations count="1">
    <x:dataValidation type="list" sqref="J2:J11">
      <x:formula1>"VALIDATED,PENDING_FIELD_VALIDATION,REJECTED"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fac204a42649f6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94" t="str">
        <x:v>Calc_ID</x:v>
      </x:c>
      <x:c r="B1" s="94" t="str">
        <x:v>Country</x:v>
      </x:c>
      <x:c r="C1" s="94" t="str">
        <x:v>Food_ID</x:v>
      </x:c>
      <x:c r="D1" s="94" t="str">
        <x:v>Food_Name</x:v>
      </x:c>
      <x:c r="E1" s="94" t="str">
        <x:v>Portion_g</x:v>
      </x:c>
      <x:c r="F1" s="94" t="str">
        <x:v>Energy_kcal_per100g</x:v>
      </x:c>
      <x:c r="G1" s="94" t="str">
        <x:v>Protein_g_per100g</x:v>
      </x:c>
      <x:c r="H1" s="94" t="str">
        <x:v>Iron_mg_per100g</x:v>
      </x:c>
      <x:c r="I1" s="94" t="str">
        <x:v>Folate_ug_per100g</x:v>
      </x:c>
      <x:c r="J1" s="94" t="str">
        <x:v>Calcium_mg_per100g</x:v>
      </x:c>
      <x:c r="K1" s="94" t="str">
        <x:v>VitC_mg_per100g</x:v>
      </x:c>
      <x:c r="L1" s="94" t="str">
        <x:v>Energy_kcal</x:v>
      </x:c>
      <x:c r="M1" s="94" t="str">
        <x:v>Protein_g</x:v>
      </x:c>
      <x:c r="N1" s="94" t="str">
        <x:v>Iron_mg</x:v>
      </x:c>
      <x:c r="O1" s="94" t="str">
        <x:v>Folate_ug</x:v>
      </x:c>
      <x:c r="P1" s="94" t="str">
        <x:v>Calcium_mg</x:v>
      </x:c>
      <x:c r="Q1" s="94" t="str">
        <x:v>VitC_mg</x:v>
      </x:c>
      <x:c r="R1" s="94" t="str">
        <x:v>Data_Confidence</x:v>
      </x:c>
      <x:c r="S1" s="94" t="str">
        <x:v>Quant_Output_Allowed</x:v>
      </x:c>
    </x:row>
    <x:row r="2">
      <x:c r="A2" s="14" t="str">
        <x:v>CALC-001</x:v>
      </x:c>
      <x:c r="B2" s="14" t="str"/>
      <x:c r="C2" s="95" t="str"/>
      <x:c r="D2" s="95" t="str"/>
      <x:c r="E2" s="95" t="str"/>
      <x:c r="F2" s="95" t="str"/>
      <x:c r="G2" s="95" t="str"/>
      <x:c r="H2" s="95" t="str"/>
      <x:c r="I2" s="95" t="str"/>
      <x:c r="J2" s="95" t="str"/>
      <x:c r="K2" s="95" t="str"/>
      <x:c r="L2" s="96" t="str">
        <x:f>IF(AND(E2&gt;0,F2&gt;=0),E2*F2/100,"")</x:f>
      </x:c>
      <x:c r="M2" s="96" t="str">
        <x:f>IF(AND(E2&gt;0,G2&gt;=0),E2*G2/100,"")</x:f>
      </x:c>
      <x:c r="N2" s="96" t="str">
        <x:f>IF(AND(E2&gt;0,H2&gt;=0),E2*H2/100,"")</x:f>
      </x:c>
      <x:c r="O2" s="96" t="str">
        <x:f>IF(AND(E2&gt;0,I2&gt;=0),E2*I2/100,"")</x:f>
      </x:c>
      <x:c r="P2" s="96" t="str">
        <x:f>IF(AND(E2&gt;0,J2&gt;=0),E2*J2/100,"")</x:f>
      </x:c>
      <x:c r="Q2" s="96" t="str">
        <x:f>IF(AND(E2&gt;0,K2&gt;=0),E2*K2/100,"")</x:f>
      </x:c>
      <x:c r="R2" s="96" t="str"/>
      <x:c r="S2" s="96" t="str">
        <x:f>IF(AND(E2&gt;0,R2="VERIFIED"),"YES","NO")</x:f>
        <x:v>NO</x:v>
      </x:c>
    </x:row>
    <x:row r="3">
      <x:c r="A3" s="14" t="str">
        <x:v>CALC-002</x:v>
      </x:c>
      <x:c r="B3" s="14" t="str"/>
      <x:c r="C3" s="95" t="str"/>
      <x:c r="D3" s="95" t="str"/>
      <x:c r="E3" s="95" t="str"/>
      <x:c r="F3" s="95" t="str"/>
      <x:c r="G3" s="95" t="str"/>
      <x:c r="H3" s="95" t="str"/>
      <x:c r="I3" s="95" t="str"/>
      <x:c r="J3" s="95" t="str"/>
      <x:c r="K3" s="95" t="str"/>
      <x:c r="L3" s="96" t="str">
        <x:f>IF(AND(E3&gt;0,F3&gt;=0),E3*F3/100,"")</x:f>
      </x:c>
      <x:c r="M3" s="96" t="str">
        <x:f>IF(AND(E3&gt;0,G3&gt;=0),E3*G3/100,"")</x:f>
      </x:c>
      <x:c r="N3" s="96" t="str">
        <x:f>IF(AND(E3&gt;0,H3&gt;=0),E3*H3/100,"")</x:f>
      </x:c>
      <x:c r="O3" s="96" t="str">
        <x:f>IF(AND(E3&gt;0,I3&gt;=0),E3*I3/100,"")</x:f>
      </x:c>
      <x:c r="P3" s="96" t="str">
        <x:f>IF(AND(E3&gt;0,J3&gt;=0),E3*J3/100,"")</x:f>
      </x:c>
      <x:c r="Q3" s="96" t="str">
        <x:f>IF(AND(E3&gt;0,K3&gt;=0),E3*K3/100,"")</x:f>
      </x:c>
      <x:c r="R3" s="96" t="str"/>
      <x:c r="S3" s="96" t="str">
        <x:f>IF(AND(E3&gt;0,R3="VERIFIED"),"YES","NO")</x:f>
        <x:v>NO</x:v>
      </x:c>
    </x:row>
    <x:row r="4">
      <x:c r="A4" s="14" t="str">
        <x:v>CALC-003</x:v>
      </x:c>
      <x:c r="B4" s="14" t="str"/>
      <x:c r="C4" s="95" t="str"/>
      <x:c r="D4" s="95" t="str"/>
      <x:c r="E4" s="95" t="str"/>
      <x:c r="F4" s="95" t="str"/>
      <x:c r="G4" s="95" t="str"/>
      <x:c r="H4" s="95" t="str"/>
      <x:c r="I4" s="95" t="str"/>
      <x:c r="J4" s="95" t="str"/>
      <x:c r="K4" s="95" t="str"/>
      <x:c r="L4" s="96" t="str">
        <x:f>IF(AND(E4&gt;0,F4&gt;=0),E4*F4/100,"")</x:f>
      </x:c>
      <x:c r="M4" s="96" t="str">
        <x:f>IF(AND(E4&gt;0,G4&gt;=0),E4*G4/100,"")</x:f>
      </x:c>
      <x:c r="N4" s="96" t="str">
        <x:f>IF(AND(E4&gt;0,H4&gt;=0),E4*H4/100,"")</x:f>
      </x:c>
      <x:c r="O4" s="96" t="str">
        <x:f>IF(AND(E4&gt;0,I4&gt;=0),E4*I4/100,"")</x:f>
      </x:c>
      <x:c r="P4" s="96" t="str">
        <x:f>IF(AND(E4&gt;0,J4&gt;=0),E4*J4/100,"")</x:f>
      </x:c>
      <x:c r="Q4" s="96" t="str">
        <x:f>IF(AND(E4&gt;0,K4&gt;=0),E4*K4/100,"")</x:f>
      </x:c>
      <x:c r="R4" s="96" t="str"/>
      <x:c r="S4" s="96" t="str">
        <x:f>IF(AND(E4&gt;0,R4="VERIFIED"),"YES","NO")</x:f>
        <x:v>NO</x:v>
      </x:c>
    </x:row>
    <x:row r="5">
      <x:c r="A5" s="14" t="str">
        <x:v>CALC-004</x:v>
      </x:c>
      <x:c r="B5" s="14" t="str"/>
      <x:c r="C5" s="95" t="str"/>
      <x:c r="D5" s="95" t="str"/>
      <x:c r="E5" s="95" t="str"/>
      <x:c r="F5" s="95" t="str"/>
      <x:c r="G5" s="95" t="str"/>
      <x:c r="H5" s="95" t="str"/>
      <x:c r="I5" s="95" t="str"/>
      <x:c r="J5" s="95" t="str"/>
      <x:c r="K5" s="95" t="str"/>
      <x:c r="L5" s="96" t="str">
        <x:f>IF(AND(E5&gt;0,F5&gt;=0),E5*F5/100,"")</x:f>
      </x:c>
      <x:c r="M5" s="96" t="str">
        <x:f>IF(AND(E5&gt;0,G5&gt;=0),E5*G5/100,"")</x:f>
      </x:c>
      <x:c r="N5" s="96" t="str">
        <x:f>IF(AND(E5&gt;0,H5&gt;=0),E5*H5/100,"")</x:f>
      </x:c>
      <x:c r="O5" s="96" t="str">
        <x:f>IF(AND(E5&gt;0,I5&gt;=0),E5*I5/100,"")</x:f>
      </x:c>
      <x:c r="P5" s="96" t="str">
        <x:f>IF(AND(E5&gt;0,J5&gt;=0),E5*J5/100,"")</x:f>
      </x:c>
      <x:c r="Q5" s="96" t="str">
        <x:f>IF(AND(E5&gt;0,K5&gt;=0),E5*K5/100,"")</x:f>
      </x:c>
      <x:c r="R5" s="96" t="str"/>
      <x:c r="S5" s="96" t="str">
        <x:f>IF(AND(E5&gt;0,R5="VERIFIED"),"YES","NO")</x:f>
        <x:v>NO</x:v>
      </x:c>
    </x:row>
    <x:row r="6">
      <x:c r="A6" s="14" t="str">
        <x:v>CALC-005</x:v>
      </x:c>
      <x:c r="B6" s="14" t="str"/>
      <x:c r="C6" s="95" t="str"/>
      <x:c r="D6" s="95" t="str"/>
      <x:c r="E6" s="95" t="str"/>
      <x:c r="F6" s="95" t="str"/>
      <x:c r="G6" s="95" t="str"/>
      <x:c r="H6" s="95" t="str"/>
      <x:c r="I6" s="95" t="str"/>
      <x:c r="J6" s="95" t="str"/>
      <x:c r="K6" s="95" t="str"/>
      <x:c r="L6" s="96" t="str">
        <x:f>IF(AND(E6&gt;0,F6&gt;=0),E6*F6/100,"")</x:f>
      </x:c>
      <x:c r="M6" s="96" t="str">
        <x:f>IF(AND(E6&gt;0,G6&gt;=0),E6*G6/100,"")</x:f>
      </x:c>
      <x:c r="N6" s="96" t="str">
        <x:f>IF(AND(E6&gt;0,H6&gt;=0),E6*H6/100,"")</x:f>
      </x:c>
      <x:c r="O6" s="96" t="str">
        <x:f>IF(AND(E6&gt;0,I6&gt;=0),E6*I6/100,"")</x:f>
      </x:c>
      <x:c r="P6" s="96" t="str">
        <x:f>IF(AND(E6&gt;0,J6&gt;=0),E6*J6/100,"")</x:f>
      </x:c>
      <x:c r="Q6" s="96" t="str">
        <x:f>IF(AND(E6&gt;0,K6&gt;=0),E6*K6/100,"")</x:f>
      </x:c>
      <x:c r="R6" s="96" t="str"/>
      <x:c r="S6" s="96" t="str">
        <x:f>IF(AND(E6&gt;0,R6="VERIFIED"),"YES","NO")</x:f>
        <x:v>NO</x:v>
      </x:c>
    </x:row>
    <x:row r="7">
      <x:c r="A7" s="14" t="str">
        <x:v>CALC-006</x:v>
      </x:c>
      <x:c r="B7" s="14" t="str"/>
      <x:c r="C7" s="95" t="str"/>
      <x:c r="D7" s="95" t="str"/>
      <x:c r="E7" s="95" t="str"/>
      <x:c r="F7" s="95" t="str"/>
      <x:c r="G7" s="95" t="str"/>
      <x:c r="H7" s="95" t="str"/>
      <x:c r="I7" s="95" t="str"/>
      <x:c r="J7" s="95" t="str"/>
      <x:c r="K7" s="95" t="str"/>
      <x:c r="L7" s="96" t="str">
        <x:f>IF(AND(E7&gt;0,F7&gt;=0),E7*F7/100,"")</x:f>
      </x:c>
      <x:c r="M7" s="96" t="str">
        <x:f>IF(AND(E7&gt;0,G7&gt;=0),E7*G7/100,"")</x:f>
      </x:c>
      <x:c r="N7" s="96" t="str">
        <x:f>IF(AND(E7&gt;0,H7&gt;=0),E7*H7/100,"")</x:f>
      </x:c>
      <x:c r="O7" s="96" t="str">
        <x:f>IF(AND(E7&gt;0,I7&gt;=0),E7*I7/100,"")</x:f>
      </x:c>
      <x:c r="P7" s="96" t="str">
        <x:f>IF(AND(E7&gt;0,J7&gt;=0),E7*J7/100,"")</x:f>
      </x:c>
      <x:c r="Q7" s="96" t="str">
        <x:f>IF(AND(E7&gt;0,K7&gt;=0),E7*K7/100,"")</x:f>
      </x:c>
      <x:c r="R7" s="96" t="str"/>
      <x:c r="S7" s="96" t="str">
        <x:f>IF(AND(E7&gt;0,R7="VERIFIED"),"YES","NO")</x:f>
        <x:v>NO</x:v>
      </x:c>
    </x:row>
    <x:row r="8">
      <x:c r="A8" s="14" t="str">
        <x:v>CALC-007</x:v>
      </x:c>
      <x:c r="B8" s="14" t="str"/>
      <x:c r="C8" s="95" t="str"/>
      <x:c r="D8" s="95" t="str"/>
      <x:c r="E8" s="95" t="str"/>
      <x:c r="F8" s="95" t="str"/>
      <x:c r="G8" s="95" t="str"/>
      <x:c r="H8" s="95" t="str"/>
      <x:c r="I8" s="95" t="str"/>
      <x:c r="J8" s="95" t="str"/>
      <x:c r="K8" s="95" t="str"/>
      <x:c r="L8" s="96" t="str">
        <x:f>IF(AND(E8&gt;0,F8&gt;=0),E8*F8/100,"")</x:f>
      </x:c>
      <x:c r="M8" s="96" t="str">
        <x:f>IF(AND(E8&gt;0,G8&gt;=0),E8*G8/100,"")</x:f>
      </x:c>
      <x:c r="N8" s="96" t="str">
        <x:f>IF(AND(E8&gt;0,H8&gt;=0),E8*H8/100,"")</x:f>
      </x:c>
      <x:c r="O8" s="96" t="str">
        <x:f>IF(AND(E8&gt;0,I8&gt;=0),E8*I8/100,"")</x:f>
      </x:c>
      <x:c r="P8" s="96" t="str">
        <x:f>IF(AND(E8&gt;0,J8&gt;=0),E8*J8/100,"")</x:f>
      </x:c>
      <x:c r="Q8" s="96" t="str">
        <x:f>IF(AND(E8&gt;0,K8&gt;=0),E8*K8/100,"")</x:f>
      </x:c>
      <x:c r="R8" s="96" t="str"/>
      <x:c r="S8" s="96" t="str">
        <x:f>IF(AND(E8&gt;0,R8="VERIFIED"),"YES","NO")</x:f>
        <x:v>NO</x:v>
      </x:c>
    </x:row>
    <x:row r="9">
      <x:c r="A9" s="14" t="str">
        <x:v>CALC-008</x:v>
      </x:c>
      <x:c r="B9" s="14" t="str"/>
      <x:c r="C9" s="95" t="str"/>
      <x:c r="D9" s="95" t="str"/>
      <x:c r="E9" s="95" t="str"/>
      <x:c r="F9" s="95" t="str"/>
      <x:c r="G9" s="95" t="str"/>
      <x:c r="H9" s="95" t="str"/>
      <x:c r="I9" s="95" t="str"/>
      <x:c r="J9" s="95" t="str"/>
      <x:c r="K9" s="95" t="str"/>
      <x:c r="L9" s="96" t="str">
        <x:f>IF(AND(E9&gt;0,F9&gt;=0),E9*F9/100,"")</x:f>
      </x:c>
      <x:c r="M9" s="96" t="str">
        <x:f>IF(AND(E9&gt;0,G9&gt;=0),E9*G9/100,"")</x:f>
      </x:c>
      <x:c r="N9" s="96" t="str">
        <x:f>IF(AND(E9&gt;0,H9&gt;=0),E9*H9/100,"")</x:f>
      </x:c>
      <x:c r="O9" s="96" t="str">
        <x:f>IF(AND(E9&gt;0,I9&gt;=0),E9*I9/100,"")</x:f>
      </x:c>
      <x:c r="P9" s="96" t="str">
        <x:f>IF(AND(E9&gt;0,J9&gt;=0),E9*J9/100,"")</x:f>
      </x:c>
      <x:c r="Q9" s="96" t="str">
        <x:f>IF(AND(E9&gt;0,K9&gt;=0),E9*K9/100,"")</x:f>
      </x:c>
      <x:c r="R9" s="96" t="str"/>
      <x:c r="S9" s="96" t="str">
        <x:f>IF(AND(E9&gt;0,R9="VERIFIED"),"YES","NO")</x:f>
        <x:v>NO</x:v>
      </x:c>
    </x:row>
    <x:row r="10">
      <x:c r="A10" s="14" t="str">
        <x:v>CALC-009</x:v>
      </x:c>
      <x:c r="B10" s="14" t="str"/>
      <x:c r="C10" s="95" t="str"/>
      <x:c r="D10" s="95" t="str"/>
      <x:c r="E10" s="95" t="str"/>
      <x:c r="F10" s="95" t="str"/>
      <x:c r="G10" s="95" t="str"/>
      <x:c r="H10" s="95" t="str"/>
      <x:c r="I10" s="95" t="str"/>
      <x:c r="J10" s="95" t="str"/>
      <x:c r="K10" s="95" t="str"/>
      <x:c r="L10" s="96" t="str">
        <x:f>IF(AND(E10&gt;0,F10&gt;=0),E10*F10/100,"")</x:f>
      </x:c>
      <x:c r="M10" s="96" t="str">
        <x:f>IF(AND(E10&gt;0,G10&gt;=0),E10*G10/100,"")</x:f>
      </x:c>
      <x:c r="N10" s="96" t="str">
        <x:f>IF(AND(E10&gt;0,H10&gt;=0),E10*H10/100,"")</x:f>
      </x:c>
      <x:c r="O10" s="96" t="str">
        <x:f>IF(AND(E10&gt;0,I10&gt;=0),E10*I10/100,"")</x:f>
      </x:c>
      <x:c r="P10" s="96" t="str">
        <x:f>IF(AND(E10&gt;0,J10&gt;=0),E10*J10/100,"")</x:f>
      </x:c>
      <x:c r="Q10" s="96" t="str">
        <x:f>IF(AND(E10&gt;0,K10&gt;=0),E10*K10/100,"")</x:f>
      </x:c>
      <x:c r="R10" s="96" t="str"/>
      <x:c r="S10" s="96" t="str">
        <x:f>IF(AND(E10&gt;0,R10="VERIFIED"),"YES","NO")</x:f>
        <x:v>NO</x:v>
      </x:c>
    </x:row>
    <x:row r="11">
      <x:c r="A11" s="14" t="str">
        <x:v>CALC-010</x:v>
      </x:c>
      <x:c r="B11" s="14" t="str"/>
      <x:c r="C11" s="95" t="str"/>
      <x:c r="D11" s="95" t="str"/>
      <x:c r="E11" s="95" t="str"/>
      <x:c r="F11" s="95" t="str"/>
      <x:c r="G11" s="95" t="str"/>
      <x:c r="H11" s="95" t="str"/>
      <x:c r="I11" s="95" t="str"/>
      <x:c r="J11" s="95" t="str"/>
      <x:c r="K11" s="95" t="str"/>
      <x:c r="L11" s="96" t="str">
        <x:f>IF(AND(E11&gt;0,F11&gt;=0),E11*F11/100,"")</x:f>
      </x:c>
      <x:c r="M11" s="96" t="str">
        <x:f>IF(AND(E11&gt;0,G11&gt;=0),E11*G11/100,"")</x:f>
      </x:c>
      <x:c r="N11" s="96" t="str">
        <x:f>IF(AND(E11&gt;0,H11&gt;=0),E11*H11/100,"")</x:f>
      </x:c>
      <x:c r="O11" s="96" t="str">
        <x:f>IF(AND(E11&gt;0,I11&gt;=0),E11*I11/100,"")</x:f>
      </x:c>
      <x:c r="P11" s="96" t="str">
        <x:f>IF(AND(E11&gt;0,J11&gt;=0),E11*J11/100,"")</x:f>
      </x:c>
      <x:c r="Q11" s="96" t="str">
        <x:f>IF(AND(E11&gt;0,K11&gt;=0),E11*K11/100,"")</x:f>
      </x:c>
      <x:c r="R11" s="96" t="str"/>
      <x:c r="S11" s="96" t="str">
        <x:f>IF(AND(E11&gt;0,R11="VERIFIED"),"YES","NO")</x:f>
        <x:v>NO</x:v>
      </x:c>
    </x:row>
    <x:row r="12">
      <x:c r="A12" s="14" t="str">
        <x:v>CALC-011</x:v>
      </x:c>
      <x:c r="B12" s="14" t="str"/>
      <x:c r="C12" s="95" t="str"/>
      <x:c r="D12" s="95" t="str"/>
      <x:c r="E12" s="95" t="str"/>
      <x:c r="F12" s="95" t="str"/>
      <x:c r="G12" s="95" t="str"/>
      <x:c r="H12" s="95" t="str"/>
      <x:c r="I12" s="95" t="str"/>
      <x:c r="J12" s="95" t="str"/>
      <x:c r="K12" s="95" t="str"/>
      <x:c r="L12" s="96" t="str">
        <x:f>IF(AND(E12&gt;0,F12&gt;=0),E12*F12/100,"")</x:f>
      </x:c>
      <x:c r="M12" s="96" t="str">
        <x:f>IF(AND(E12&gt;0,G12&gt;=0),E12*G12/100,"")</x:f>
      </x:c>
      <x:c r="N12" s="96" t="str">
        <x:f>IF(AND(E12&gt;0,H12&gt;=0),E12*H12/100,"")</x:f>
      </x:c>
      <x:c r="O12" s="96" t="str">
        <x:f>IF(AND(E12&gt;0,I12&gt;=0),E12*I12/100,"")</x:f>
      </x:c>
      <x:c r="P12" s="96" t="str">
        <x:f>IF(AND(E12&gt;0,J12&gt;=0),E12*J12/100,"")</x:f>
      </x:c>
      <x:c r="Q12" s="96" t="str">
        <x:f>IF(AND(E12&gt;0,K12&gt;=0),E12*K12/100,"")</x:f>
      </x:c>
      <x:c r="R12" s="96" t="str"/>
      <x:c r="S12" s="96" t="str">
        <x:f>IF(AND(E12&gt;0,R12="VERIFIED"),"YES","NO")</x:f>
        <x:v>NO</x:v>
      </x:c>
    </x:row>
    <x:row r="13">
      <x:c r="A13" s="14" t="str">
        <x:v>CALC-012</x:v>
      </x:c>
      <x:c r="B13" s="14" t="str"/>
      <x:c r="C13" s="95" t="str"/>
      <x:c r="D13" s="95" t="str"/>
      <x:c r="E13" s="95" t="str"/>
      <x:c r="F13" s="95" t="str"/>
      <x:c r="G13" s="95" t="str"/>
      <x:c r="H13" s="95" t="str"/>
      <x:c r="I13" s="95" t="str"/>
      <x:c r="J13" s="95" t="str"/>
      <x:c r="K13" s="95" t="str"/>
      <x:c r="L13" s="96" t="str">
        <x:f>IF(AND(E13&gt;0,F13&gt;=0),E13*F13/100,"")</x:f>
      </x:c>
      <x:c r="M13" s="96" t="str">
        <x:f>IF(AND(E13&gt;0,G13&gt;=0),E13*G13/100,"")</x:f>
      </x:c>
      <x:c r="N13" s="96" t="str">
        <x:f>IF(AND(E13&gt;0,H13&gt;=0),E13*H13/100,"")</x:f>
      </x:c>
      <x:c r="O13" s="96" t="str">
        <x:f>IF(AND(E13&gt;0,I13&gt;=0),E13*I13/100,"")</x:f>
      </x:c>
      <x:c r="P13" s="96" t="str">
        <x:f>IF(AND(E13&gt;0,J13&gt;=0),E13*J13/100,"")</x:f>
      </x:c>
      <x:c r="Q13" s="96" t="str">
        <x:f>IF(AND(E13&gt;0,K13&gt;=0),E13*K13/100,"")</x:f>
      </x:c>
      <x:c r="R13" s="96" t="str"/>
      <x:c r="S13" s="96" t="str">
        <x:f>IF(AND(E13&gt;0,R13="VERIFIED"),"YES","NO")</x:f>
        <x:v>NO</x:v>
      </x:c>
    </x:row>
    <x:row r="14">
      <x:c r="A14" s="14" t="str">
        <x:v>CALC-013</x:v>
      </x:c>
      <x:c r="B14" s="14" t="str"/>
      <x:c r="C14" s="95" t="str"/>
      <x:c r="D14" s="95" t="str"/>
      <x:c r="E14" s="95" t="str"/>
      <x:c r="F14" s="95" t="str"/>
      <x:c r="G14" s="95" t="str"/>
      <x:c r="H14" s="95" t="str"/>
      <x:c r="I14" s="95" t="str"/>
      <x:c r="J14" s="95" t="str"/>
      <x:c r="K14" s="95" t="str"/>
      <x:c r="L14" s="96" t="str">
        <x:f>IF(AND(E14&gt;0,F14&gt;=0),E14*F14/100,"")</x:f>
      </x:c>
      <x:c r="M14" s="96" t="str">
        <x:f>IF(AND(E14&gt;0,G14&gt;=0),E14*G14/100,"")</x:f>
      </x:c>
      <x:c r="N14" s="96" t="str">
        <x:f>IF(AND(E14&gt;0,H14&gt;=0),E14*H14/100,"")</x:f>
      </x:c>
      <x:c r="O14" s="96" t="str">
        <x:f>IF(AND(E14&gt;0,I14&gt;=0),E14*I14/100,"")</x:f>
      </x:c>
      <x:c r="P14" s="96" t="str">
        <x:f>IF(AND(E14&gt;0,J14&gt;=0),E14*J14/100,"")</x:f>
      </x:c>
      <x:c r="Q14" s="96" t="str">
        <x:f>IF(AND(E14&gt;0,K14&gt;=0),E14*K14/100,"")</x:f>
      </x:c>
      <x:c r="R14" s="96" t="str"/>
      <x:c r="S14" s="96" t="str">
        <x:f>IF(AND(E14&gt;0,R14="VERIFIED"),"YES","NO")</x:f>
        <x:v>NO</x:v>
      </x:c>
    </x:row>
    <x:row r="15">
      <x:c r="A15" s="14" t="str">
        <x:v>CALC-014</x:v>
      </x:c>
      <x:c r="B15" s="14" t="str"/>
      <x:c r="C15" s="95" t="str"/>
      <x:c r="D15" s="95" t="str"/>
      <x:c r="E15" s="95" t="str"/>
      <x:c r="F15" s="95" t="str"/>
      <x:c r="G15" s="95" t="str"/>
      <x:c r="H15" s="95" t="str"/>
      <x:c r="I15" s="95" t="str"/>
      <x:c r="J15" s="95" t="str"/>
      <x:c r="K15" s="95" t="str"/>
      <x:c r="L15" s="96" t="str">
        <x:f>IF(AND(E15&gt;0,F15&gt;=0),E15*F15/100,"")</x:f>
      </x:c>
      <x:c r="M15" s="96" t="str">
        <x:f>IF(AND(E15&gt;0,G15&gt;=0),E15*G15/100,"")</x:f>
      </x:c>
      <x:c r="N15" s="96" t="str">
        <x:f>IF(AND(E15&gt;0,H15&gt;=0),E15*H15/100,"")</x:f>
      </x:c>
      <x:c r="O15" s="96" t="str">
        <x:f>IF(AND(E15&gt;0,I15&gt;=0),E15*I15/100,"")</x:f>
      </x:c>
      <x:c r="P15" s="96" t="str">
        <x:f>IF(AND(E15&gt;0,J15&gt;=0),E15*J15/100,"")</x:f>
      </x:c>
      <x:c r="Q15" s="96" t="str">
        <x:f>IF(AND(E15&gt;0,K15&gt;=0),E15*K15/100,"")</x:f>
      </x:c>
      <x:c r="R15" s="96" t="str"/>
      <x:c r="S15" s="96" t="str">
        <x:f>IF(AND(E15&gt;0,R15="VERIFIED"),"YES","NO")</x:f>
        <x:v>NO</x:v>
      </x:c>
    </x:row>
    <x:row r="16">
      <x:c r="A16" s="14" t="str">
        <x:v>CALC-015</x:v>
      </x:c>
      <x:c r="B16" s="14" t="str"/>
      <x:c r="C16" s="95" t="str"/>
      <x:c r="D16" s="95" t="str"/>
      <x:c r="E16" s="95" t="str"/>
      <x:c r="F16" s="95" t="str"/>
      <x:c r="G16" s="95" t="str"/>
      <x:c r="H16" s="95" t="str"/>
      <x:c r="I16" s="95" t="str"/>
      <x:c r="J16" s="95" t="str"/>
      <x:c r="K16" s="95" t="str"/>
      <x:c r="L16" s="96" t="str">
        <x:f>IF(AND(E16&gt;0,F16&gt;=0),E16*F16/100,"")</x:f>
      </x:c>
      <x:c r="M16" s="96" t="str">
        <x:f>IF(AND(E16&gt;0,G16&gt;=0),E16*G16/100,"")</x:f>
      </x:c>
      <x:c r="N16" s="96" t="str">
        <x:f>IF(AND(E16&gt;0,H16&gt;=0),E16*H16/100,"")</x:f>
      </x:c>
      <x:c r="O16" s="96" t="str">
        <x:f>IF(AND(E16&gt;0,I16&gt;=0),E16*I16/100,"")</x:f>
      </x:c>
      <x:c r="P16" s="96" t="str">
        <x:f>IF(AND(E16&gt;0,J16&gt;=0),E16*J16/100,"")</x:f>
      </x:c>
      <x:c r="Q16" s="96" t="str">
        <x:f>IF(AND(E16&gt;0,K16&gt;=0),E16*K16/100,"")</x:f>
      </x:c>
      <x:c r="R16" s="96" t="str"/>
      <x:c r="S16" s="96" t="str">
        <x:f>IF(AND(E16&gt;0,R16="VERIFIED"),"YES","NO")</x:f>
        <x:v>NO</x:v>
      </x:c>
    </x:row>
  </x:sheetData>
  <x:dataValidations count="1">
    <x:dataValidation type="list" sqref="R2:R16">
      <x:formula1>"VERIFIED,REGIONAL,BORROWED,CALCULATED,PENDING_VERIFICATION"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36e2d95ed44b40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94" t="str">
        <x:v>User_State_ID</x:v>
      </x:c>
      <x:c r="B1" s="94" t="str">
        <x:v>Date</x:v>
      </x:c>
      <x:c r="C1" s="94" t="str">
        <x:v>Country</x:v>
      </x:c>
      <x:c r="D1" s="94" t="str">
        <x:v>Pregnancy_Week</x:v>
      </x:c>
      <x:c r="E1" s="94" t="str">
        <x:v>Meal_Event</x:v>
      </x:c>
      <x:c r="F1" s="94" t="str">
        <x:v>Food_Groups_Count</x:v>
      </x:c>
      <x:c r="G1" s="94" t="str">
        <x:v>Pulse</x:v>
      </x:c>
      <x:c r="H1" s="94" t="str">
        <x:v>Dairy</x:v>
      </x:c>
      <x:c r="I1" s="94" t="str">
        <x:v>Meat_Fish</x:v>
      </x:c>
      <x:c r="J1" s="94" t="str">
        <x:v>Egg</x:v>
      </x:c>
      <x:c r="K1" s="94" t="str">
        <x:v>Dark_Green_Leafy</x:v>
      </x:c>
      <x:c r="L1" s="94" t="str">
        <x:v>VitA_FruitVeg</x:v>
      </x:c>
      <x:c r="M1" s="94" t="str">
        <x:v>Other_Veg</x:v>
      </x:c>
      <x:c r="N1" s="94" t="str">
        <x:v>Other_Fruit</x:v>
      </x:c>
      <x:c r="O1" s="94" t="str">
        <x:v>Grain_Root_Plantain</x:v>
      </x:c>
      <x:c r="P1" s="94" t="str">
        <x:v>Nuts_Seeds</x:v>
      </x:c>
      <x:c r="Q1" s="94" t="str">
        <x:v>Qualitative_Gap_Signal</x:v>
      </x:c>
      <x:c r="R1" s="94" t="str">
        <x:v>Clinical_Flag</x:v>
      </x:c>
      <x:c r="S1" s="94" t="str">
        <x:v>Next_Action</x:v>
      </x:c>
    </x:row>
    <x:row r="2">
      <x:c r="A2" s="97" t="str">
        <x:v>DEMO-001</x:v>
      </x:c>
      <x:c r="B2" s="97" t="str"/>
      <x:c r="C2" s="97" t="str">
        <x:v>Kenya</x:v>
      </x:c>
      <x:c r="D2" s="97" t="n">
        <x:v>24</x:v>
      </x:c>
      <x:c r="E2" s="97" t="str">
        <x:v>Breakfast</x:v>
      </x:c>
      <x:c r="F2" s="97" t="n">
        <x:v>3</x:v>
      </x:c>
      <x:c r="G2" s="97" t="str">
        <x:v>NO</x:v>
      </x:c>
      <x:c r="H2" s="97" t="str">
        <x:v>YES</x:v>
      </x:c>
      <x:c r="I2" s="97" t="str">
        <x:v>NO</x:v>
      </x:c>
      <x:c r="J2" s="97" t="str">
        <x:v>NO</x:v>
      </x:c>
      <x:c r="K2" s="97" t="str">
        <x:v>NO</x:v>
      </x:c>
      <x:c r="L2" s="97" t="str">
        <x:v>NO</x:v>
      </x:c>
      <x:c r="M2" s="97" t="str">
        <x:v>NO</x:v>
      </x:c>
      <x:c r="N2" s="97" t="str">
        <x:v>YES</x:v>
      </x:c>
      <x:c r="O2" s="97" t="str">
        <x:v>YES</x:v>
      </x:c>
      <x:c r="P2" s="97" t="str">
        <x:v>NO</x:v>
      </x:c>
      <x:c r="Q2" s="97" t="str">
        <x:v>Increase diversity</x:v>
      </x:c>
      <x:c r="R2" s="97" t="str">
        <x:v>NONE</x:v>
      </x:c>
      <x:c r="S2" s="97" t="str">
        <x:v>Use foods-at-home inventory to propose lunch</x:v>
      </x:c>
    </x:row>
    <x:row r="3">
      <x:c r="A3" s="97" t="str">
        <x:v>DEMO-001</x:v>
      </x:c>
      <x:c r="B3" s="97" t="str"/>
      <x:c r="C3" s="97" t="str">
        <x:v>Kenya</x:v>
      </x:c>
      <x:c r="D3" s="97" t="n">
        <x:v>24</x:v>
      </x:c>
      <x:c r="E3" s="97" t="str">
        <x:v>Lunch</x:v>
      </x:c>
      <x:c r="F3" s="97" t="n">
        <x:v>4</x:v>
      </x:c>
      <x:c r="G3" s="97" t="str">
        <x:v>YES</x:v>
      </x:c>
      <x:c r="H3" s="97" t="str">
        <x:v>NO</x:v>
      </x:c>
      <x:c r="I3" s="97" t="str">
        <x:v>NO</x:v>
      </x:c>
      <x:c r="J3" s="97" t="str">
        <x:v>YES</x:v>
      </x:c>
      <x:c r="K3" s="97" t="str">
        <x:v>YES</x:v>
      </x:c>
      <x:c r="L3" s="97" t="str">
        <x:v>NO</x:v>
      </x:c>
      <x:c r="M3" s="97" t="str">
        <x:v>NO</x:v>
      </x:c>
      <x:c r="N3" s="97" t="str">
        <x:v>NO</x:v>
      </x:c>
      <x:c r="O3" s="97" t="str">
        <x:v>YES</x:v>
      </x:c>
      <x:c r="P3" s="97" t="str">
        <x:v>NO</x:v>
      </x:c>
      <x:c r="Q3" s="97" t="str">
        <x:v>Good diversity; review calcium/fruit later</x:v>
      </x:c>
      <x:c r="R3" s="97" t="str">
        <x:v>NONE</x:v>
      </x:c>
      <x:c r="S3" s="97" t="str">
        <x:v>Rank dinner candidates against groups not yet eaten</x:v>
      </x:c>
    </x:row>
  </x:sheetData>
  <x:pageMargins left="0.7" right="0.7" top="0.75" bottom="0.75" header="0.3" footer="0.3"/>
  <x:tableParts count="1">
    <x:tablePart xmlns:r="http://schemas.openxmlformats.org/officeDocument/2006/relationships" r:id="Ra1f1e0d423104c87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94" t="str">
        <x:v>Field</x:v>
      </x:c>
      <x:c r="B1" s="94" t="str">
        <x:v>Type</x:v>
      </x:c>
      <x:c r="C1" s="94" t="str">
        <x:v>Required</x:v>
      </x:c>
      <x:c r="D1" s="94" t="str">
        <x:v>Example</x:v>
      </x:c>
      <x:c r="E1" s="94" t="str">
        <x:v>Purpose</x:v>
      </x:c>
      <x:c r="F1" s="94" t="str">
        <x:v>Privacy_or_Safety_Note</x:v>
      </x:c>
    </x:row>
    <x:row r="2">
      <x:c r="A2" s="14" t="str">
        <x:v>user_state_id</x:v>
      </x:c>
      <x:c r="B2" s="14" t="str">
        <x:v>string</x:v>
      </x:c>
      <x:c r="C2" s="14" t="str">
        <x:v>YES</x:v>
      </x:c>
      <x:c r="D2" s="14" t="str">
        <x:v>opaque-session-id</x:v>
      </x:c>
      <x:c r="E2" s="14" t="str">
        <x:v>Links turns without exposing identity</x:v>
      </x:c>
      <x:c r="F2" s="14" t="str">
        <x:v>Use pseudonymous identifier.</x:v>
      </x:c>
    </x:row>
    <x:row r="3">
      <x:c r="A3" s="14" t="str">
        <x:v>country</x:v>
      </x:c>
      <x:c r="B3" s="14" t="str">
        <x:v>enum</x:v>
      </x:c>
      <x:c r="C3" s="14" t="str">
        <x:v>YES</x:v>
      </x:c>
      <x:c r="D3" s="14" t="str">
        <x:v>KE</x:v>
      </x:c>
      <x:c r="E3" s="14" t="str">
        <x:v>Activates country food/meal pack</x:v>
      </x:c>
      <x:c r="F3" s="14" t="str">
        <x:v>Do not infer nationality from language alone.</x:v>
      </x:c>
    </x:row>
    <x:row r="4">
      <x:c r="A4" s="14" t="str">
        <x:v>language</x:v>
      </x:c>
      <x:c r="B4" s="14" t="str">
        <x:v>enum</x:v>
      </x:c>
      <x:c r="C4" s="14" t="str">
        <x:v>YES</x:v>
      </x:c>
      <x:c r="D4" s="14" t="str">
        <x:v>sw</x:v>
      </x:c>
      <x:c r="E4" s="14" t="str">
        <x:v>Conversation language</x:v>
      </x:c>
      <x:c r="F4" s="14" t="str">
        <x:v>Initial Kenya MVP: English/Kiswahili.</x:v>
      </x:c>
    </x:row>
    <x:row r="5">
      <x:c r="A5" s="14" t="str">
        <x:v>pregnancy_week</x:v>
      </x:c>
      <x:c r="B5" s="14" t="str">
        <x:v>integer</x:v>
      </x:c>
      <x:c r="C5" s="14" t="str">
        <x:v>YES</x:v>
      </x:c>
      <x:c r="D5" s="14" t="str">
        <x:v>24</x:v>
      </x:c>
      <x:c r="E5" s="14" t="str">
        <x:v>Pregnancy context</x:v>
      </x:c>
      <x:c r="F5" s="14" t="str">
        <x:v>User-provided or clinically confirmed; do not estimate from symptoms.</x:v>
      </x:c>
    </x:row>
    <x:row r="6">
      <x:c r="A6" s="14" t="str">
        <x:v>foods_available</x:v>
      </x:c>
      <x:c r="B6" s="14" t="str">
        <x:v>array[string]</x:v>
      </x:c>
      <x:c r="C6" s="14" t="str">
        <x:v>YES</x:v>
      </x:c>
      <x:c r="D6" s="14" t="str">
        <x:v>beans, rice, sukuma, eggs</x:v>
      </x:c>
      <x:c r="E6" s="14" t="str">
        <x:v>Food matching input</x:v>
      </x:c>
      <x:c r="F6" s="14" t="str">
        <x:v>Preserve uncertainty in food-name mapping.</x:v>
      </x:c>
    </x:row>
    <x:row r="7">
      <x:c r="A7" s="14" t="str">
        <x:v>household_portions</x:v>
      </x:c>
      <x:c r="B7" s="14" t="str">
        <x:v>array[object]</x:v>
      </x:c>
      <x:c r="C7" s="14" t="str">
        <x:v>NO</x:v>
      </x:c>
      <x:c r="D7" s="14" t="str">
        <x:v>1 bowl rice</x:v>
      </x:c>
      <x:c r="E7" s="14" t="str">
        <x:v>Enables quantitative calculation if validated</x:v>
      </x:c>
      <x:c r="F7" s="14" t="str">
        <x:v>Unvalidated measures trigger qualitative mode.</x:v>
      </x:c>
    </x:row>
    <x:row r="8">
      <x:c r="A8" s="14" t="str">
        <x:v>budget</x:v>
      </x:c>
      <x:c r="B8" s="14" t="str">
        <x:v>number+currency</x:v>
      </x:c>
      <x:c r="C8" s="14" t="str">
        <x:v>NO</x:v>
      </x:c>
      <x:c r="D8" s="14" t="str">
        <x:v>300 KES</x:v>
      </x:c>
      <x:c r="E8" s="14" t="str">
        <x:v>Ranks feasible additions</x:v>
      </x:c>
      <x:c r="F8" s="14" t="str">
        <x:v>Do not claim live market prices without current price source.</x:v>
      </x:c>
    </x:row>
    <x:row r="9">
      <x:c r="A9" s="14" t="str">
        <x:v>recent_food_groups</x:v>
      </x:c>
      <x:c r="B9" s="14" t="str">
        <x:v>array</x:v>
      </x:c>
      <x:c r="C9" s="14" t="str">
        <x:v>YES</x:v>
      </x:c>
      <x:c r="D9" s="14" t="str">
        <x:v>FG01,FG02,FG07</x:v>
      </x:c>
      <x:c r="E9" s="14" t="str">
        <x:v>24h diversity memory</x:v>
      </x:c>
      <x:c r="F9" s="14" t="str">
        <x:v>Heuristic support, not diagnosis.</x:v>
      </x:c>
    </x:row>
    <x:row r="10">
      <x:c r="A10" s="14" t="str">
        <x:v>dietary_restrictions</x:v>
      </x:c>
      <x:c r="B10" s="14" t="str">
        <x:v>array</x:v>
      </x:c>
      <x:c r="C10" s="14" t="str">
        <x:v>NO</x:v>
      </x:c>
      <x:c r="D10" s="14" t="str">
        <x:v>no beef</x:v>
      </x:c>
      <x:c r="E10" s="14" t="str">
        <x:v>Exclusion rules</x:v>
      </x:c>
      <x:c r="F10" s="14" t="str">
        <x:v>Respect user preferences/restrictions.</x:v>
      </x:c>
    </x:row>
    <x:row r="11">
      <x:c r="A11" s="14" t="str">
        <x:v>allergies</x:v>
      </x:c>
      <x:c r="B11" s="14" t="str">
        <x:v>array</x:v>
      </x:c>
      <x:c r="C11" s="14" t="str">
        <x:v>NO</x:v>
      </x:c>
      <x:c r="D11" s="14" t="str">
        <x:v>peanut</x:v>
      </x:c>
      <x:c r="E11" s="14" t="str">
        <x:v>Hard safety exclusion</x:v>
      </x:c>
      <x:c r="F11" s="14" t="str">
        <x:v>Allergy match blocks recommendation.</x:v>
      </x:c>
    </x:row>
    <x:row r="12">
      <x:c r="A12" s="14" t="str">
        <x:v>clinical_flags</x:v>
      </x:c>
      <x:c r="B12" s="14" t="str">
        <x:v>array</x:v>
      </x:c>
      <x:c r="C12" s="14" t="str">
        <x:v>NO</x:v>
      </x:c>
      <x:c r="D12" s="14" t="str">
        <x:v>persistent vomiting</x:v>
      </x:c>
      <x:c r="E12" s="14" t="str">
        <x:v>Escalation gate</x:v>
      </x:c>
      <x:c r="F12" s="14" t="str">
        <x:v>Clinical flags override ordinary meal optimisation.</x:v>
      </x:c>
    </x:row>
    <x:row r="13">
      <x:c r="A13" s="14" t="str">
        <x:v>supplement_status</x:v>
      </x:c>
      <x:c r="B13" s="14" t="str">
        <x:v>string</x:v>
      </x:c>
      <x:c r="C13" s="14" t="str">
        <x:v>NO</x:v>
      </x:c>
      <x:c r="D13" s="14" t="str">
        <x:v>taking ANC iron/folate</x:v>
      </x:c>
      <x:c r="E13" s="14" t="str">
        <x:v>Prevents replacement messaging</x:v>
      </x:c>
      <x:c r="F13" s="14" t="str">
        <x:v>Never advise stopping prescribed/routine supplements.</x:v>
      </x:c>
    </x:row>
    <x:row r="14">
      <x:c r="A14" s="14" t="str">
        <x:v>prepared_feedback</x:v>
      </x:c>
      <x:c r="B14" s="14" t="str">
        <x:v>enum</x:v>
      </x:c>
      <x:c r="C14" s="14" t="str">
        <x:v>NO</x:v>
      </x:c>
      <x:c r="D14" s="14" t="str">
        <x:v>YES/NO</x:v>
      </x:c>
      <x:c r="E14" s="14" t="str">
        <x:v>Behaviour-learning loop</x:v>
      </x:c>
      <x:c r="F14" s="14" t="str">
        <x:v>If NO, capture barrier.</x:v>
      </x:c>
    </x:row>
    <x:row r="15">
      <x:c r="A15" s="14" t="str">
        <x:v>barrier_reason</x:v>
      </x:c>
      <x:c r="B15" s="14" t="str">
        <x:v>enum</x:v>
      </x:c>
      <x:c r="C15" s="14" t="str">
        <x:v>NO</x:v>
      </x:c>
      <x:c r="D15" s="14" t="str">
        <x:v>ingredient unavailable</x:v>
      </x:c>
      <x:c r="E15" s="14" t="str">
        <x:v>Improves future ranking</x:v>
      </x:c>
      <x:c r="F15" s="14" t="str">
        <x:v>Examples: cost, unavailable, dislike, difficult, nausea, household preference.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3e1f1458f79443ba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94" t="str">
        <x:v>Endpoint</x:v>
      </x:c>
      <x:c r="B1" s="94" t="str">
        <x:v>Method</x:v>
      </x:c>
      <x:c r="C1" s="94" t="str">
        <x:v>Request_Field</x:v>
      </x:c>
      <x:c r="D1" s="94" t="str">
        <x:v>Required</x:v>
      </x:c>
      <x:c r="E1" s="94" t="str">
        <x:v>Response_Field</x:v>
      </x:c>
      <x:c r="F1" s="94" t="str">
        <x:v>Description</x:v>
      </x:c>
    </x:row>
    <x:row r="2">
      <x:c r="A2" s="14" t="str">
        <x:v>/nutrition/recommend</x:v>
      </x:c>
      <x:c r="B2" s="14" t="str">
        <x:v>POST</x:v>
      </x:c>
      <x:c r="C2" s="14" t="str">
        <x:v>country</x:v>
      </x:c>
      <x:c r="D2" s="14" t="str">
        <x:v>YES</x:v>
      </x:c>
      <x:c r="E2" s="14" t="str">
        <x:v>mode</x:v>
      </x:c>
      <x:c r="F2" s="14" t="str">
        <x:v>QUANTITATIVE only when portion + food data confidence gates pass; otherwise QUALITATIVE.</x:v>
      </x:c>
    </x:row>
    <x:row r="3">
      <x:c r="A3" s="14" t="str">
        <x:v>/nutrition/recommend</x:v>
      </x:c>
      <x:c r="B3" s="14" t="str">
        <x:v>POST</x:v>
      </x:c>
      <x:c r="C3" s="14" t="str">
        <x:v>pregnancy_week</x:v>
      </x:c>
      <x:c r="D3" s="14" t="str">
        <x:v>YES</x:v>
      </x:c>
      <x:c r="E3" s="14" t="str">
        <x:v>recommendations[]</x:v>
      </x:c>
      <x:c r="F3" s="14" t="str">
        <x:v>Returns 1–3 culturally valid meal candidates.</x:v>
      </x:c>
    </x:row>
    <x:row r="4">
      <x:c r="A4" s="14" t="str">
        <x:v>/nutrition/recommend</x:v>
      </x:c>
      <x:c r="B4" s="14" t="str">
        <x:v>POST</x:v>
      </x:c>
      <x:c r="C4" s="14" t="str">
        <x:v>foods_available[]</x:v>
      </x:c>
      <x:c r="D4" s="14" t="str">
        <x:v>YES</x:v>
      </x:c>
      <x:c r="E4" s="14" t="str">
        <x:v>strengths[]</x:v>
      </x:c>
      <x:c r="F4" s="14" t="str">
        <x:v>Explains useful nutritional features without diagnosing deficiency.</x:v>
      </x:c>
    </x:row>
    <x:row r="5">
      <x:c r="A5" s="14" t="str">
        <x:v>/nutrition/recommend</x:v>
      </x:c>
      <x:c r="B5" s="14" t="str">
        <x:v>POST</x:v>
      </x:c>
      <x:c r="C5" s="14" t="str">
        <x:v>portions[]</x:v>
      </x:c>
      <x:c r="D5" s="14" t="str">
        <x:v>NO</x:v>
      </x:c>
      <x:c r="E5" s="14" t="str">
        <x:v>possible_gaps[]</x:v>
      </x:c>
      <x:c r="F5" s="14" t="str">
        <x:v>Possible gaps are pattern-level signals, not diagnoses.</x:v>
      </x:c>
    </x:row>
    <x:row r="6">
      <x:c r="A6" s="14" t="str">
        <x:v>/nutrition/recommend</x:v>
      </x:c>
      <x:c r="B6" s="14" t="str">
        <x:v>POST</x:v>
      </x:c>
      <x:c r="C6" s="14" t="str">
        <x:v>recent_food_groups[]</x:v>
      </x:c>
      <x:c r="D6" s="14" t="str">
        <x:v>YES</x:v>
      </x:c>
      <x:c r="E6" s="14" t="str">
        <x:v>improvements[]</x:v>
      </x:c>
      <x:c r="F6" s="14" t="str">
        <x:v>Ranks additions/substitutions from available/affordable foods.</x:v>
      </x:c>
    </x:row>
    <x:row r="7">
      <x:c r="A7" s="14" t="str">
        <x:v>/nutrition/recommend</x:v>
      </x:c>
      <x:c r="B7" s="14" t="str">
        <x:v>POST</x:v>
      </x:c>
      <x:c r="C7" s="14" t="str">
        <x:v>budget</x:v>
      </x:c>
      <x:c r="D7" s="14" t="str">
        <x:v>NO</x:v>
      </x:c>
      <x:c r="E7" s="14" t="str">
        <x:v>safety_flags[]</x:v>
      </x:c>
      <x:c r="F7" s="14" t="str">
        <x:v>Clinical/safety flags can suppress ordinary recommendations.</x:v>
      </x:c>
    </x:row>
    <x:row r="8">
      <x:c r="A8" s="14" t="str">
        <x:v>/nutrition/recommend</x:v>
      </x:c>
      <x:c r="B8" s="14" t="str">
        <x:v>POST</x:v>
      </x:c>
      <x:c r="C8" s="14" t="str">
        <x:v>allergies[]</x:v>
      </x:c>
      <x:c r="D8" s="14" t="str">
        <x:v>NO</x:v>
      </x:c>
      <x:c r="E8" s="14" t="str">
        <x:v>data_confidence</x:v>
      </x:c>
      <x:c r="F8" s="14" t="str">
        <x:v>Exposes VERIFIED/REGIONAL/PENDING and portion confidence.</x:v>
      </x:c>
    </x:row>
    <x:row r="9">
      <x:c r="A9" s="14" t="str">
        <x:v>/nutrition/feedback</x:v>
      </x:c>
      <x:c r="B9" s="14" t="str">
        <x:v>POST</x:v>
      </x:c>
      <x:c r="C9" s="14" t="str">
        <x:v>prepared</x:v>
      </x:c>
      <x:c r="D9" s="14" t="str">
        <x:v>YES</x:v>
      </x:c>
      <x:c r="E9" s="14" t="str">
        <x:v>accepted</x:v>
      </x:c>
      <x:c r="F9" s="14" t="str">
        <x:v>Captures whether recommendation was prepared.</x:v>
      </x:c>
    </x:row>
    <x:row r="10">
      <x:c r="A10" s="14" t="str">
        <x:v>/nutrition/feedback</x:v>
      </x:c>
      <x:c r="B10" s="14" t="str">
        <x:v>POST</x:v>
      </x:c>
      <x:c r="C10" s="14" t="str">
        <x:v>barrier_reason</x:v>
      </x:c>
      <x:c r="D10" s="14" t="str">
        <x:v>NO</x:v>
      </x:c>
      <x:c r="E10" s="14" t="str">
        <x:v>learning_signal</x:v>
      </x:c>
      <x:c r="F10" s="14" t="str">
        <x:v>Updates feasibility/preferences, not nutrient science.</x:v>
      </x:c>
    </x:row>
  </x:sheetData>
  <x:pageMargins left="0.7" right="0.7" top="0.75" bottom="0.75" header="0.3" footer="0.3"/>
  <x:tableParts count="1">
    <x:tablePart xmlns:r="http://schemas.openxmlformats.org/officeDocument/2006/relationships" r:id="Rd685a61dc3a143ac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102" t="str">
        <x:v>PIKABORA v0.7 — QUANTITATIVE GATE + PORTION VALIDATION + API STATE</x:v>
      </x:c>
      <x:c r="B1" s="102"/>
      <x:c r="C1" s="102"/>
      <x:c r="D1" s="102"/>
      <x:c r="E1" s="102"/>
      <x:c r="F1" s="102"/>
      <x:c r="G1" s="102"/>
      <x:c r="H1" s="102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4" t="str">
        <x:v>Build metric</x:v>
      </x:c>
      <x:c r="B3" s="94" t="str">
        <x:v>Value</x:v>
      </x:c>
      <x:c r="C3" s="14"/>
      <x:c r="D3" s="103" t="str">
        <x:v>v0.7 decision gate</x:v>
      </x:c>
      <x:c r="E3" s="103" t="str"/>
      <x:c r="F3" s="103" t="str"/>
      <x:c r="G3" s="103" t="str"/>
      <x:c r="H3" s="103" t="str"/>
    </x:row>
    <x:row r="4">
      <x:c r="A4" s="14" t="str">
        <x:v>Portion validation queue</x:v>
      </x:c>
      <x:c r="B4" s="14" t="n">
        <x:v>10</x:v>
      </x:c>
      <x:c r="C4" s="14"/>
      <x:c r="D4" s="14" t="str">
        <x:v>Portion</x:v>
      </x:c>
      <x:c r="E4" s="14" t="str">
        <x:v>Validated gram conversion? If no → qualitative mode</x:v>
      </x:c>
      <x:c r="F4" s="14" t="str"/>
      <x:c r="G4" s="14" t="str"/>
      <x:c r="H4" s="14" t="str"/>
    </x:row>
    <x:row r="5">
      <x:c r="A5" s="14" t="str">
        <x:v>Nutrient calculator slots</x:v>
      </x:c>
      <x:c r="B5" s="14" t="n">
        <x:v>15</x:v>
      </x:c>
      <x:c r="C5" s="14"/>
      <x:c r="D5" s="14" t="str">
        <x:v>Food data</x:v>
      </x:c>
      <x:c r="E5" s="14" t="str">
        <x:v>Verified country/source nutrient values? If no → lower confidence or qualitative mode</x:v>
      </x:c>
      <x:c r="F5" s="14" t="str"/>
      <x:c r="G5" s="14" t="str"/>
      <x:c r="H5" s="14" t="str"/>
    </x:row>
    <x:row r="6">
      <x:c r="A6" s="14" t="str">
        <x:v>Daily intake state example events</x:v>
      </x:c>
      <x:c r="B6" s="14" t="n">
        <x:v>2</x:v>
      </x:c>
      <x:c r="C6" s="14"/>
      <x:c r="D6" s="14" t="str">
        <x:v>Recipe</x:v>
      </x:c>
      <x:c r="E6" s="14" t="str">
        <x:v>Exact published recipe or validated ingredient calculation? If no → do not reuse standard recipe values</x:v>
      </x:c>
      <x:c r="F6" s="14" t="str"/>
      <x:c r="G6" s="14" t="str"/>
      <x:c r="H6" s="14" t="str"/>
    </x:row>
    <x:row r="7">
      <x:c r="A7" s="14" t="str">
        <x:v>Conversation-state fields</x:v>
      </x:c>
      <x:c r="B7" s="14" t="n">
        <x:v>14</x:v>
      </x:c>
      <x:c r="C7" s="14"/>
      <x:c r="D7" s="14" t="str">
        <x:v>Safety</x:v>
      </x:c>
      <x:c r="E7" s="14" t="str">
        <x:v>Clinical/allergy flag? If yes → safety pathway overrides optimisation</x:v>
      </x:c>
      <x:c r="F7" s="14" t="str"/>
      <x:c r="G7" s="14" t="str"/>
      <x:c r="H7" s="14" t="str"/>
    </x:row>
    <x:row r="8">
      <x:c r="A8" s="14" t="str">
        <x:v>API contract rows</x:v>
      </x:c>
      <x:c r="B8" s="14" t="n">
        <x:v>9</x:v>
      </x:c>
      <x:c r="C8" s="14"/>
      <x:c r="D8" s="14" t="str">
        <x:v>History</x:v>
      </x:c>
      <x:c r="E8" s="14" t="str">
        <x:v>Use recent food groups to diversify next meal; never diagnose deficiency from one meal</x:v>
      </x:c>
      <x:c r="F8" s="14" t="str"/>
      <x:c r="G8" s="14" t="str"/>
      <x:c r="H8" s="14" t="str"/>
    </x:row>
    <x:row r="9">
      <x:c r="A9" s="14" t="str">
        <x:v>Quantitative engine</x:v>
      </x:c>
      <x:c r="B9" s="14" t="str">
        <x:v>ACTIVE ONLY FOR VERIFIED INPUTS</x:v>
      </x:c>
      <x:c r="C9" s="14"/>
      <x:c r="D9" s="14" t="str">
        <x:v>Supplements</x:v>
      </x:c>
      <x:c r="E9" s="14" t="str">
        <x:v>Food suggestions never replace prescribed/routine ANC supplementation</x:v>
      </x:c>
      <x:c r="F9" s="14" t="str"/>
      <x:c r="G9" s="14" t="str"/>
      <x:c r="H9" s="14" t="str"/>
    </x:row>
    <x:row r="10">
      <x:c r="A10" s="14" t="str">
        <x:v>Fallback engine</x:v>
      </x:c>
      <x:c r="B10" s="14" t="str">
        <x:v>QUALITATIVE</x:v>
      </x:c>
      <x:c r="C10" s="14"/>
      <x:c r="D10" s="14" t="str">
        <x:v>API</x:v>
      </x:c>
      <x:c r="E10" s="14" t="str">
        <x:v>Response exposes mode + data confidence so the WhatsApp layer cannot hide uncertainty</x:v>
      </x:c>
      <x:c r="F10" s="14" t="str"/>
      <x:c r="G10" s="14" t="str"/>
      <x:c r="H10" s="14" t="str"/>
    </x:row>
    <x:row r="11">
      <x:c r="A11" s="14" t="str">
        <x:v>Next milestone</x:v>
      </x:c>
      <x:c r="B11" s="14" t="str">
        <x:v>Field-validated portions + backend implementation/test fixtures</x:v>
      </x:c>
      <x:c r="C11" s="14"/>
      <x:c r="D11" s="14" t="str">
        <x:v>Pilot</x:v>
      </x:c>
      <x:c r="E11" s="14" t="str">
        <x:v>Collect portion weights and recommendation-preparation feedback to improve ranking</x:v>
      </x:c>
      <x:c r="F11" s="14" t="str"/>
      <x:c r="G11" s="14" t="str"/>
      <x:c r="H11" s="14" t="str"/>
    </x:row>
  </x:sheetData>
  <x:mergeCells>
    <x:mergeCell ref="A1:H1"/>
  </x:mergeCells>
  <x:pageMargins left="0.7" right="0.7" top="0.75" bottom="0.75" header="0.3" footer="0.3"/>
</x:worksheet>
</file>